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16EEB7D8-F8A3-4CCC-88D9-572AA6A7D673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4" i="4" l="1"/>
  <c r="G3" i="4"/>
  <c r="E3" i="2"/>
  <c r="F3" i="4"/>
  <c r="G4" i="4"/>
  <c r="G4" i="6" a="1"/>
  <c r="E3" i="4"/>
  <c r="G3" i="6" a="1"/>
  <c r="F3" i="2"/>
  <c r="G5" i="6" a="1"/>
  <c r="F4" i="4"/>
  <c r="D3" i="2" a="1"/>
  <c r="D3" i="2" l="1"/>
  <c r="G5" i="6"/>
  <c r="G3" i="6"/>
  <c r="G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<sst xmlns="http://schemas.openxmlformats.org/spreadsheetml/2006/main" count="67" uniqueCount="39">
  <si>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</si>
  <si>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</si>
  <si>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</si>
  <si>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</si>
  <si>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</si>
  <si>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</si>
  <si>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</si>
  <si>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</si>
  <si>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</si>
  <si>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</si>
  <si>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</si>
  <si>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</si>
  <si>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</si>
  <si>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</si>
  <si>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</si>
  <si>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</si>
  <si>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</si>
  <si>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</si>
  <si>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</si>
  <si>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</si>
  <si>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</si>
  <si>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</si>
  <si>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</si>
  <si>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</si>
  <si>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</si>
  <si>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</si>
  <si>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</si>
  <si>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</si>
  <si>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</si>
  <si>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</si>
  <si>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</si>
  <si>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</si>
  <si>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</si>
  <si>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</si>
  <si>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</si>
  <si>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</si>
  <si>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</si>
  <si>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D:\C#\SGSI_CRUDEX\CRUDEX\StaticFiles\Assets\Images\evadin.png</t>
  </si>
  <si>
    <t>Logotipo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</si>
</sst>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abSelected="1" workbookViewId="0">
      <selection activeCell="D3" sqref="D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38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388.8" x14ac:dyDescent="0.3">
      <c r="A3" s="8" t="s">
        <v>3</v>
      </c>
      <c r="B3" s="8" t="s">
        <v>4</v>
      </c>
      <c r="C3" s="9" t="s">
        <v>37</v>
      </c>
      <c r="D3" s="5" t="str" cm="1">
        <f t="array" ref="D3"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1},"CategoriaId": {"Kind": "number", "Value": 1},"Nome": {"Kind": "string", "Value": "Produto A"},"Preço": {"Kind": "string", "Value": "100,00"},"Quantidade": {"Kind": "string", "Value": "2"},"Categoria":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"string", "Value": "50,00"},"Quantidade": {"Kind": "string", "Value": "1"},"Categoria": {"Kind": "object", "Value": {"CategoriaId": {"Kind": "number", "Value": 2},"Nome": {"Kind": "string", "Value": "Livros"}}}}]},"TotaisProdutos": {"Kind": "totals", "Items": [{"PreçoSum": {"Kind": "string", "Value": "150"},"QuantidadeSum": {"Kind": "string", "Value": "3"}}]},"TotaisProdutosGrafico": {"Kind": "graph", "Items": [{"PreçoSum": {"Kind": "string", "Value": "150"},"PreçoSum_Label": {"Kind": "string", "Value": "Preço"},"QuantidadeSum": {"Kind": "string", "Value": "3"},"QuantidadeSum_Label":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3},"ClienteId": {"Kind": "number", "Value": 2},"CategoriaId": {"Kind": "number", "Value": 3},"Nome": {"Kind": "string", "Value": "Produto C"},"Preço": {"Kind": "string", "Value": "200,00"},"Quantidade": {"Kind": "string", "Value": "3"},"Categoria": {"Kind": "object", "Value": {"CategoriaId": {"Kind": "number", "Value": 3},"Nome": {"Kind": "string", "Value": "Escritório"}}}}]},"TotaisProdutos": {"Kind": "totals", "Items": [{"PreçoSum": {"Kind": "string", "Value": "200"},"QuantidadeSum": {"Kind": "string", "Value": "3"}}]},"TotaisProdutosGrafico": {"Kind": "graph", "Items": [{"PreçoSum": {"Kind": "string", "Value": "200"},"PreçoSum_Label": {"Kind": "string", "Value": "Preço"},"QuantidadeSum": {"Kind": "string", "Value": "3"},"QuantidadeSum_Label": {"Kind": "string", "Value": "Quantidade"}}]}}]</v>
      </c>
      <c r="E3" s="9" t="str">
        <f>ObterRegistroTotal("Produtos", "", "Preço, Quantidade", "Sum")</f>
        <v>[{"PreçoSum": {"Kind": "string", "Value": "350"},"QuantidadeSum": {"Kind": "string", "Value": "6"}}]</v>
      </c>
      <c r="F3" s="9" t="str">
        <f>ObterGrafico("Produtos", "", "Preço, Quantidade", "Sum")</f>
        <v>[{"PreçoSum": {"Kind": "string", "Value": "350"},"PreçoSum_Label": {"Kind": "string", "Value": "Preço"},"QuantidadeSum": {"Kind": "string", "Value": "6"},"QuantidadeSum_Label":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4"/>
  <sheetViews>
    <sheetView workbookViewId="0">
      <selection activeCell="E4" sqref="E4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144" x14ac:dyDescent="0.3">
      <c r="A3" s="8">
        <v>1</v>
      </c>
      <c r="B3" s="8" t="s">
        <v>7</v>
      </c>
      <c r="C3" s="8" t="s">
        <v>9</v>
      </c>
      <c r="D3" s="8" t="s">
        <v>11</v>
      </c>
      <c r="E3" s="9" t="str">
        <f>ObterRegistros("Produtos", "ClienteId", A3)</f>
        <v>[{"ProdutoId": {"Kind": "number", "Value": 1},"ClienteId": {"Kind": "number", "Value": 1},"CategoriaId": {"Kind": "number", "Value": 1},"Nome": {"Kind": "string", "Value": "Produto A"},"Preço": {"Kind": "string", "Value": "100,00"},"Quantidade": {"Kind": "string", "Value": "2"},"Categoria":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"string", "Value": "50,00"},"Quantidade": {"Kind": "string", "Value": "1"},"Categoria": {"Kind": "object", "Value": {"CategoriaId": {"Kind": "number", "Value": 2},"Nome": {"Kind": "string", "Value": "Livros"}}}}]</v>
      </c>
      <c r="F3" s="9" t="str">
        <f>ObterRegistroTotal("Produtos", "", "Preço, Quantidade", "Sum", "ClienteId", A3)</f>
        <v>[{"PreçoSum": {"Kind": "string", "Value": "150"},"QuantidadeSum": {"Kind": "string", "Value": "3"}}]</v>
      </c>
      <c r="G3" s="9" t="str">
        <f>ObterGrafico("Produtos", "", "Preço, Quantidade", "Sum", "ClienteId", A3)</f>
        <v>[{"PreçoSum": {"Kind": "string", "Value": "150"},"PreçoSum_Label": {"Kind": "string", "Value": "Preço"},"QuantidadeSum": {"Kind": "string", "Value": "3"},"QuantidadeSum_Label": {"Kind": "string", "Value": "Quantidade"}}]</v>
      </c>
    </row>
    <row r="4" spans="1:7" ht="72" x14ac:dyDescent="0.3">
      <c r="A4" s="8">
        <v>2</v>
      </c>
      <c r="B4" s="8" t="s">
        <v>8</v>
      </c>
      <c r="C4" s="8" t="s">
        <v>10</v>
      </c>
      <c r="D4" s="8" t="s">
        <v>12</v>
      </c>
      <c r="E4" s="9" t="str">
        <f>ObterRegistros("Produtos", "ClienteId", A4)</f>
        <v>[{"ProdutoId": {"Kind": "number", "Value": 3},"ClienteId": {"Kind": "number", "Value": 2},"CategoriaId": {"Kind": "number", "Value": 3},"Nome": {"Kind": "string", "Value": "Produto C"},"Preço": {"Kind": "string", "Value": "200,00"},"Quantidade": {"Kind": "string", "Value": "3"},"Categoria": {"Kind": "object", "Value": {"CategoriaId": {"Kind": "number", "Value": 3},"Nome": {"Kind": "string", "Value": "Escritório"}}}}]</v>
      </c>
      <c r="F4" s="9" t="str">
        <f>ObterRegistroTotal("Produtos", "", "Preço, Quantidade", "Sum", "ClienteId", A4)</f>
        <v>[{"PreçoSum": {"Kind": "string", "Value": "200"},"QuantidadeSum": {"Kind": "string", "Value": "3"}}]</v>
      </c>
      <c r="G4" s="9" t="str">
        <f>ObterGrafico("Produtos", "", "Preço, Quantidade", "Sum", "ClienteId", A4)</f>
        <v>[{"PreçoSum": {"Kind": "string", "Value": "200"},"PreçoSum_Label": {"Kind": "string", "Value": "Preço"},"QuantidadeSum": {"Kind": "string", "Value": "3"},"QuantidadeSum_Label":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5"/>
  <sheetViews>
    <sheetView workbookViewId="0">
      <selection activeCell="G3" sqref="G3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</row>
    <row r="2" spans="1:7" s="1" customFormat="1" x14ac:dyDescent="0.3">
      <c r="A2" s="1" t="s">
        <v>32</v>
      </c>
      <c r="B2" s="1" t="s">
        <v>32</v>
      </c>
      <c r="C2" s="1" t="s">
        <v>32</v>
      </c>
      <c r="D2" s="1" t="s">
        <v>28</v>
      </c>
      <c r="E2" s="2" t="s">
        <v>28</v>
      </c>
      <c r="F2" s="10" t="s">
        <v>28</v>
      </c>
      <c r="G2" s="4" t="s">
        <v>33</v>
      </c>
    </row>
    <row r="3" spans="1:7" ht="28.8" x14ac:dyDescent="0.3">
      <c r="A3">
        <v>1</v>
      </c>
      <c r="B3">
        <v>1</v>
      </c>
      <c r="C3">
        <v>1</v>
      </c>
      <c r="D3" t="s">
        <v>16</v>
      </c>
      <c r="E3" s="3">
        <v>100</v>
      </c>
      <c r="F3" s="11">
        <v>2</v>
      </c>
      <c r="G3" s="5" t="str" cm="1">
        <f t="array" ref="G3">ObterRegistro("Categorias","CategoriaId",C3)</f>
        <v>{"CategoriaId": {"Kind": "number", "Value": 1},"Nome": {"Kind": "string", "Value": "Eletrônico"}}</v>
      </c>
    </row>
    <row r="4" spans="1:7" ht="28.8" x14ac:dyDescent="0.3">
      <c r="A4">
        <v>2</v>
      </c>
      <c r="B4">
        <v>1</v>
      </c>
      <c r="C4">
        <v>2</v>
      </c>
      <c r="D4" t="s">
        <v>17</v>
      </c>
      <c r="E4" s="3">
        <v>50</v>
      </c>
      <c r="F4" s="11">
        <v>1</v>
      </c>
      <c r="G4" s="5" t="str" cm="1">
        <f t="array" ref="G4">ObterRegistro("Categorias","CategoriaId",C4)</f>
        <v>{"CategoriaId": {"Kind": "number", "Value": 2},"Nome": {"Kind": "string", "Value": "Livros"}}</v>
      </c>
    </row>
    <row r="5" spans="1:7" ht="28.8" x14ac:dyDescent="0.3">
      <c r="A5">
        <v>3</v>
      </c>
      <c r="B5">
        <v>2</v>
      </c>
      <c r="C5">
        <v>3</v>
      </c>
      <c r="D5" t="s">
        <v>18</v>
      </c>
      <c r="E5" s="3">
        <v>200</v>
      </c>
      <c r="F5" s="11">
        <v>3</v>
      </c>
      <c r="G5" s="5" t="str" cm="1">
        <f t="array" ref="G5">ObterRegistro("Categorias","CategoriaId",C5)</f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2026-06-13T10:43:33Z</dcterms:modified>
</cp:coreProperties>
</file>