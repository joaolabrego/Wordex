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DA51C542-6052-425C-801C-6870E176C041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" i="2" l="1"/>
  <c r="C38" i="6"/>
  <c r="F3" i="2" s="1"/>
  <c r="C37" i="6"/>
  <c r="E3" i="4" s="1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F4" i="4"/>
  <c r="F3" i="4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G4" i="4"/>
  <c r="G3" i="4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E4" i="4" l="1"/>
  <c r="D3" i="2"/>
</calcChain>
</file>

<file path=xl/sharedStrings.xml><?xml version="1.0" encoding="utf-8"?>
<sst xmlns="http://schemas.openxmlformats.org/spreadsheetml/2006/main" count="102" uniqueCount="40">
  <si>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</si>
  <si>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</si>
  <si>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</si>
  <si>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</si>
  <si>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</si>
  <si>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</si>
  <si>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</si>
  <si>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</si>
  <si>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</si>
  <si>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</si>
  <si>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</si>
  <si>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</si>
  <si>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</si>
  <si>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</si>
  <si>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</si>
  <si>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</si>
  <si>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</si>
  <si>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</si>
  <si>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</si>
  <si>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</si>
  <si>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</si>
  <si>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</si>
  <si>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</si>
  <si>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</si>
  <si>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</si>
  <si>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</si>
  <si>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</si>
  <si>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</si>
  <si>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</si>
  <si>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</si>
  <si>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</si>
  <si>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</si>
  <si>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</si>
  <si>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</si>
  <si>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</si>
  <si>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</si>
  <si>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</si>
  <si>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Logotipo</t>
  </si>
  <si>
    <t>ClienteNome</t>
  </si>
  <si>
    <t>D:\Wordex\img\evadin.png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</si>
</sst>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abSelected="1" topLeftCell="B3" workbookViewId="0">
      <selection activeCell="C3" sqref="C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37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409.6" x14ac:dyDescent="0.3">
      <c r="A3" s="8" t="s">
        <v>3</v>
      </c>
      <c r="B3" s="8" t="s">
        <v>4</v>
      </c>
      <c r="C3" s="9" t="s">
        <v>39</v>
      </c>
      <c r="D3" s="5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1},"ClienteNome": {"Kind": "string", "Value": "João Silva"},"CategoriaId": {"Kind": "number", "Value": 1},"Nome": {"Kind": "string",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1},"ClienteNome": {"Kind": "string", "Value": "João Silva"},"CategoriaId": {"Kind": "number", "Value": 1},"Nome": {"Kind": "string",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"Livros"}}}}]},"TotaisProdutos": {"Kind": "totals", "Items": [{"PreçoSum": {"Kind": "string", "Value": "2.800,00"},"PreçoCount": {"Kind": "string", "Value": "24"},"PreçoAvg": {"Kind": "string", "Value": "116,67"},"PreçoMin": {"Kind": "string", "Value": "50,00"},"PreçoMax": {"Kind": "string", "Value": "1.100,00"},"QuantidadeSum": {"Kind": "string", "Value": "1.269"},"QuantidadeCount": {"Kind": "string", "Value": "24"},"QuantidadeAvg": {"Kind": "string", "Value": "53"},"QuantidadeMin": {"Kind": "string", "Value": "1"},"QuantidadeMax": {"Kind": "string", "Value": "1.235"}}]},"TotaisProdutosGrafico": {"Kind": "graph", "Items": [{"PreçoSum": {"Kind": "number", "Value": 2800},"PreçoLabel": {"Kind": "string", "Value": "Preço"},"QuantidadeSum": {"Kind": "number", "Value": 1269},"QuantidadeLabel":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3},"ClienteId": {"Kind": "number", "Value": 2},"ClienteNome": {"Kind": "string", "Value": "Maria Oliveira"},"CategoriaId": {"Kind": "number", "Value": 1},"Nome": {"Kind": "string",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2},"ClienteNome": {"Kind": "string", "Value": "Maria Oliveira"},"CategoriaId": {"Kind": "number", "Value": 2},"Nome": {"Kind": "string",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"Escritório"}}}}]},"TotaisProdutos": {"Kind": "totals", "Items": [{"PreçoSum": {"Kind": "string", "Value": "2.400,00"},"PreçoCount": {"Kind": "string", "Value": "12"},"PreçoAvg": {"Kind": "string", "Value": "200,00"},"PreçoMin": {"Kind": "string", "Value": "200,00"},"PreçoMax": {"Kind": "string", "Value": "200,00"},"QuantidadeSum": {"Kind": "string", "Value": "36"},"QuantidadeCount": {"Kind": "string", "Value": "12"},"QuantidadeAvg": {"Kind": "string", "Value": "3"},"QuantidadeMin": {"Kind": "string", "Value": "3"},"QuantidadeMax": {"Kind": "string", "Value": "3"}}]},"TotaisProdutosGrafico": {"Kind": "graph", "Items": [{"PreçoSum": {"Kind": "number", "Value": 2400},"PreçoLabel": {"Kind": "string", "Value": "Preço"},"QuantidadeSum": {"Kind": "number", "Value": 36},"QuantidadeLabel": {"Kind": "string", "Value": "Quantidade"}}]}}]</v>
      </c>
      <c r="E3" s="9" t="str">
        <f>ObterRegistroTotal("Produtos", "", "Preço, Quantidade", "Sum,Count,Avg,Min,Max")</f>
        <v>[{"PreçoSum": {"Kind": "string", "Value": "5.200,00"},"PreçoCount": {"Kind": "string", "Value": "36"},"PreçoAvg": {"Kind": "string", "Value": "144,44"},"PreçoMin": {"Kind": "string", "Value": "50,00"},"PreçoMax": {"Kind": "string", "Value": "1.100,00"},"QuantidadeSum": {"Kind": "string", "Value": "1.305"},"QuantidadeCount": {"Kind": "string", "Value": "36"},"QuantidadeAvg": {"Kind": "string", "Value": "36"},"QuantidadeMin": {"Kind": "string", "Value": "1"},"QuantidadeMax": {"Kind": "string", "Value": "1.235"}}]</v>
      </c>
      <c r="F3" s="9" t="str">
        <f>ObterGrafico("Produtos", "ClienteNome", "Preço, Quantidade", "Sum,Count,Avg,Min,Max")</f>
        <v>[{"ClienteNome": {"Kind": "string", "Value": "João Silva"},"PreçoSum": {"Kind": "number", "Value": 2800},"PreçoCount": {"Kind": "number", "Value": 24},"PreçoAvg": {"Kind": "number", "Value": 116.666666666667},"PreçoMin": {"Kind": "number", "Value": 50},"PreçoMax": {"Kind": "number", "Value": 1100},"PreçoLabel": {"Kind": "string", "Value": "Preço"},"QuantidadeSum": {"Kind": "number", "Value": 1269},"QuantidadeCount": {"Kind": "number", "Value": 24},"QuantidadeAvg": {"Kind": "number", "Value": 52.875},"QuantidadeMin": {"Kind": "number", "Value": 1},"QuantidadeMax": {"Kind": "number", "Value": 1235},"QuantidadeLabel": {"Kind": "string", "Value": "Quantidade"}},{"ClienteNome": {"Kind": "string", "Value": "Maria Oliveira"},"PreçoSum": {"Kind": "number", "Value": 2400},"PreçoCount": {"Kind": "number", "Value": 12},"PreçoAvg": {"Kind": "number", "Value": 200},"PreçoMin": {"Kind": "number", "Value": 200},"PreçoMax": {"Kind": "number", "Value": 200},"PreçoLabel": {"Kind": "string", "Value": "Preço"},"QuantidadeSum": {"Kind": "number", "Value": 36},"QuantidadeCount": {"Kind": "number", "Value": 12},"QuantidadeAvg": {"Kind": "number", "Value": 3},"QuantidadeMin": {"Kind": "number", "Value": 3},"QuantidadeMax": {"Kind": "number", "Value": 3},"QuantidadeLabel":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4"/>
  <sheetViews>
    <sheetView workbookViewId="0">
      <selection activeCell="A3" sqref="A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409.6" x14ac:dyDescent="0.3">
      <c r="A3" s="8">
        <v>1</v>
      </c>
      <c r="B3" s="8" t="s">
        <v>7</v>
      </c>
      <c r="C3" s="8" t="s">
        <v>9</v>
      </c>
      <c r="D3" s="8" t="s">
        <v>11</v>
      </c>
      <c r="E3" s="9" t="str">
        <f>ObterRegistros("Produtos", "ClienteId", A3)</f>
        <v>[{"ProdutoId": {"Kind": "number", "Value": 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1235, "Text": "1.235"},"Categoria": {"Kind": "object", "Value": {"CategoriaId": {"Kind": "number", "Value": 1},"Nome": {"Kind": "string", "Value": "Eletrônico"}}}},{"ProdutoId": {"Kind": "number", "Value": 2},"ClienteId": {"Kind": "number", "Value": 1},"ClienteNome": {"Kind": "string", "Value": "João Silva"},"CategoriaId": {"Kind": "number", "Value": 1},"Nome": {"Kind": "string", "Value": "Produto B"},"Preço": {"Kind": "number", "Value": 50, "Text": "50,00"},"Quantidade": {"Kind": "number", "Value": 1, "Text": "1"},"Categoria": {"Kind": "object", "Value": {"CategoriaId": {"Kind": "number", "Value": 1},"Nome": {"Kind": "string", "Value": "Eletrônico"}}}},{"ProdutoId": {"Kind": "number", "Value": 4},"ClienteId": {"Kind": "number", "Value": 1},"ClienteNome": {"Kind": "string", "Value": "João Silva"},"CategoriaId": {"Kind": "number", "Value": 1},"Nome": {"Kind": "string", "Value": "Produto A"},"Preço": {"Kind": "number", "Value": 1100, "Text": "1.100,00"},"Quantidade": {"Kind": "number", "Value": 2, "Text": "2"},"Categoria": {"Kind": "object", "Value": {"CategoriaId": {"Kind": "number", "Value": 1},"Nome": {"Kind": "string", "Value": "Eletrônico"}}}},{"ProdutoId": {"Kind": "number", "Value": 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7},"ClienteId":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8},"ClienteId":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10},"ClienteId":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11},"ClienteId":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13},"ClienteId":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14},"ClienteId":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16},"ClienteId":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17},"ClienteId":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19},"ClienteId":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20},"ClienteId":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22},"ClienteId":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23},"ClienteId":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25},"ClienteId":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26},"ClienteId":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28},"ClienteId":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29},"ClienteId":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31},"ClienteId":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32},"ClienteId":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"Livros"}}}},{"ProdutoId": {"Kind": "number", "Value": 34},"ClienteId": {"Kind": "number", "Value": 1},"ClienteNome": {"Kind": "string", "Value": "João Silva"},"CategoriaId": {"Kind": "number", "Value": 1},"Nome": {"Kind": "string", "Value": "Produto A"},"Preço": {"Kind": "number", "Value": 100, "Text": "100,00"},"Quantidade": {"Kind": "number", "Value": 2, "Text": "2"},"Categoria": {"Kind": "object", "Value": {"CategoriaId": {"Kind": "number", "Value": 1},"Nome": {"Kind": "string", "Value": "Eletrônico"}}}},{"ProdutoId": {"Kind": "number", "Value": 35},"ClienteId": {"Kind": "number", "Value": 1},"ClienteNome": {"Kind": "string", "Value": "João Silva"},"CategoriaId": {"Kind": "number", "Value": 2},"Nome": {"Kind": "string", "Value": "Produto B"},"Preço": {"Kind": "number", "Value": 50, "Text": "50,00"},"Quantidade": {"Kind": "number", "Value": 1, "Text": "1"},"Categoria": {"Kind": "object", "Value": {"CategoriaId": {"Kind": "number", "Value": 2},"Nome": {"Kind": "string", "Value": "Livros"}}}}]</v>
      </c>
      <c r="F3" s="9" t="str">
        <f>ObterRegistroTotal("Produtos", "", "Preço, Quantidade", "Sum,Count,Avg,Min,Max", "ClienteId", A3)</f>
        <v>[{"PreçoSum": {"Kind": "string", "Value": "2.800,00"},"PreçoCount": {"Kind": "string", "Value": "24"},"PreçoAvg": {"Kind": "string", "Value": "116,67"},"PreçoMin": {"Kind": "string", "Value": "50,00"},"PreçoMax": {"Kind": "string", "Value": "1.100,00"},"QuantidadeSum": {"Kind": "string", "Value": "1.269"},"QuantidadeCount": {"Kind": "string", "Value": "24"},"QuantidadeAvg": {"Kind": "string", "Value": "53"},"QuantidadeMin": {"Kind": "string", "Value": "1"},"QuantidadeMax": {"Kind": "string", "Value": "1.235"}}]</v>
      </c>
      <c r="G3" s="9" t="str">
        <f>ObterGrafico("Produtos", "", "Preço, Quantidade", "Sum", "ClienteId", A3)</f>
        <v>[{"PreçoSum": {"Kind": "number", "Value": 2800},"PreçoLabel": {"Kind": "string", "Value": "Preço"},"QuantidadeSum": {"Kind": "number", "Value": 1269},"QuantidadeLabel": {"Kind": "string", "Value": "Quantidade"}}]</v>
      </c>
    </row>
    <row r="4" spans="1:7" ht="409.6" x14ac:dyDescent="0.3">
      <c r="A4" s="8">
        <v>2</v>
      </c>
      <c r="B4" s="8" t="s">
        <v>8</v>
      </c>
      <c r="C4" s="8" t="s">
        <v>10</v>
      </c>
      <c r="D4" s="8" t="s">
        <v>12</v>
      </c>
      <c r="E4" s="9" t="str">
        <f>ObterRegistros("Produtos", "ClienteId", A4)</f>
        <v>[{"ProdutoId": {"Kind": "number", "Value": 3},"ClienteId": {"Kind": "number", "Value": 2},"ClienteNome": {"Kind": "string", "Value": "Maria Oliveira"},"CategoriaId": {"Kind": "number", "Value": 1},"Nome": {"Kind": "string", "Value": "Produto C"},"Preço": {"Kind": "number", "Value": 200, "Text": "200,00"},"Quantidade": {"Kind": "number", "Value": 3, "Text": "3"},"Categoria": {"Kind": "object", "Value": {"CategoriaId": {"Kind": "number", "Value": 1},"Nome": {"Kind": "string", "Value": "Eletrônico"}}}},{"ProdutoId": {"Kind": "number", "Value": 6},"ClienteId": {"Kind": "number", "Value": 2},"ClienteNome": {"Kind": "string", "Value": "Maria Oliveira"},"CategoriaId": {"Kind": "number", "Value": 2},"Nome": {"Kind": "string", "Value": "Produto C"},"Preço": {"Kind": "number", "Value": 200, "Text": "200,00"},"Quantidade": {"Kind": "number", "Value": 3, "Text": "3"},"Categoria": {"Kind": "object", "Value": {"CategoriaId": {"Kind": "number", "Value": 2},"Nome": {"Kind": "string", "Value": "Livros"}}}},{"ProdutoId": {"Kind": "number", "Value": 9},"ClienteId":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12},"ClienteId":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15},"ClienteId":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18},"ClienteId":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21},"ClienteId":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24},"ClienteId":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27},"ClienteId":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30},"ClienteId":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33},"ClienteId":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"Escritório"}}}},{"ProdutoId": {"Kind": "number", "Value": 36},"ClienteId": {"Kind": "number", "Value": 2},"ClienteNome": {"Kind": "string", "Value": "Maria Oliveira"},"CategoriaId": {"Kind": "number", "Value": 3},"Nome": {"Kind": "string", "Value": "Produto C"},"Preço": {"Kind": "number", "Value": 200, "Text": "200,00"},"Quantidade": {"Kind": "number", "Value": 3, "Text": "3"},"Categoria": {"Kind": "object", "Value": {"CategoriaId": {"Kind": "number", "Value": 3},"Nome": {"Kind": "string", "Value": "Escritório"}}}}]</v>
      </c>
      <c r="F4" s="9" t="str">
        <f>ObterRegistroTotal("Produtos", "", "Preço, Quantidade", "Sum,Count,Avg,Min,Max", "ClienteId", A4)</f>
        <v>[{"PreçoSum": {"Kind": "string", "Value": "2.400,00"},"PreçoCount": {"Kind": "string", "Value": "12"},"PreçoAvg": {"Kind": "string", "Value": "200,00"},"PreçoMin": {"Kind": "string", "Value": "200,00"},"PreçoMax": {"Kind": "string", "Value": "200,00"},"QuantidadeSum": {"Kind": "string", "Value": "36"},"QuantidadeCount": {"Kind": "string", "Value": "12"},"QuantidadeAvg": {"Kind": "string", "Value": "3"},"QuantidadeMin": {"Kind": "string", "Value": "3"},"QuantidadeMax": {"Kind": "string", "Value": "3"}}]</v>
      </c>
      <c r="G4" s="9" t="str">
        <f>ObterGrafico("Produtos", "", "Preço, Quantidade", "Sum", "ClienteId", A4)</f>
        <v>[{"PreçoSum": {"Kind": "number", "Value": 2400},"PreçoLabel": {"Kind": "string", "Value": "Preço"},"QuantidadeSum": {"Kind": "number", "Value": 36},"QuantidadeLabel":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38"/>
  <sheetViews>
    <sheetView workbookViewId="0">
      <selection activeCell="C3" sqref="C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8.88671875" bestFit="1" customWidth="1"/>
    <col min="6" max="6" width="8.109375" style="3" bestFit="1" customWidth="1"/>
    <col min="7" max="7" width="10.77734375" style="11" bestFit="1" customWidth="1"/>
    <col min="8" max="8" width="44.21875" style="5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38</v>
      </c>
      <c r="D1" s="1" t="s">
        <v>15</v>
      </c>
      <c r="E1" s="1" t="s">
        <v>1</v>
      </c>
      <c r="F1" s="2" t="s">
        <v>13</v>
      </c>
      <c r="G1" s="10" t="s">
        <v>14</v>
      </c>
      <c r="H1" s="4" t="s">
        <v>23</v>
      </c>
    </row>
    <row r="2" spans="1:8" s="1" customFormat="1" x14ac:dyDescent="0.3">
      <c r="A2" s="1" t="s">
        <v>32</v>
      </c>
      <c r="B2" s="1" t="s">
        <v>32</v>
      </c>
      <c r="C2" s="1" t="s">
        <v>28</v>
      </c>
      <c r="D2" s="1" t="s">
        <v>32</v>
      </c>
      <c r="E2" s="1" t="s">
        <v>28</v>
      </c>
      <c r="F2" s="1" t="s">
        <v>32</v>
      </c>
      <c r="G2" s="1" t="s">
        <v>32</v>
      </c>
      <c r="H2" s="4" t="s">
        <v>33</v>
      </c>
    </row>
    <row r="3" spans="1:8" ht="28.8" x14ac:dyDescent="0.3">
      <c r="A3">
        <f>ROW(A3)-2</f>
        <v>1</v>
      </c>
      <c r="B3">
        <v>1</v>
      </c>
      <c r="C3" s="5" t="str">
        <f>ObterValor("Clientes","Nome","ClienteId",B3)</f>
        <v>João Silva</v>
      </c>
      <c r="D3">
        <v>1</v>
      </c>
      <c r="E3" t="s">
        <v>16</v>
      </c>
      <c r="F3" s="3">
        <v>100</v>
      </c>
      <c r="G3" s="11">
        <v>1235</v>
      </c>
      <c r="H3" s="5" t="str">
        <f t="shared" ref="H3:H16" si="0">ObterRegistro("Categorias","CategoriaId",D3)</f>
        <v>{"CategoriaId": {"Kind": "number", "Value": 1},"Nome": {"Kind": "string", "Value": "Eletrônico"}}</v>
      </c>
    </row>
    <row r="4" spans="1:8" ht="28.8" x14ac:dyDescent="0.3">
      <c r="A4">
        <f t="shared" ref="A4:A38" si="1">ROW(A4)-2</f>
        <v>2</v>
      </c>
      <c r="B4">
        <v>1</v>
      </c>
      <c r="C4" s="5" t="str">
        <f t="shared" ref="C4:C38" si="2">ObterValor("Clientes","Nome","ClienteId",B4)</f>
        <v>João Silva</v>
      </c>
      <c r="D4">
        <v>1</v>
      </c>
      <c r="E4" t="s">
        <v>17</v>
      </c>
      <c r="F4" s="3">
        <v>50</v>
      </c>
      <c r="G4" s="11">
        <v>1</v>
      </c>
      <c r="H4" s="5" t="str">
        <f t="shared" si="0"/>
        <v>{"CategoriaId": {"Kind": "number", "Value": 1},"Nome": {"Kind": "string", "Value": "Eletrônico"}}</v>
      </c>
    </row>
    <row r="5" spans="1:8" ht="28.8" x14ac:dyDescent="0.3">
      <c r="A5">
        <f t="shared" si="1"/>
        <v>3</v>
      </c>
      <c r="B5">
        <v>2</v>
      </c>
      <c r="C5" s="5" t="str">
        <f t="shared" si="2"/>
        <v>Maria Oliveira</v>
      </c>
      <c r="D5">
        <v>1</v>
      </c>
      <c r="E5" t="s">
        <v>18</v>
      </c>
      <c r="F5" s="3">
        <v>200</v>
      </c>
      <c r="G5" s="11">
        <v>3</v>
      </c>
      <c r="H5" s="5" t="str">
        <f t="shared" si="0"/>
        <v>{"CategoriaId": {"Kind": "number", "Value": 1},"Nome": {"Kind": "string", "Value": "Eletrônico"}}</v>
      </c>
    </row>
    <row r="6" spans="1:8" ht="28.8" x14ac:dyDescent="0.3">
      <c r="A6">
        <f t="shared" si="1"/>
        <v>4</v>
      </c>
      <c r="B6">
        <v>1</v>
      </c>
      <c r="C6" s="5" t="str">
        <f t="shared" si="2"/>
        <v>João Silva</v>
      </c>
      <c r="D6">
        <v>1</v>
      </c>
      <c r="E6" t="s">
        <v>16</v>
      </c>
      <c r="F6" s="3">
        <v>1100</v>
      </c>
      <c r="G6" s="11">
        <v>2</v>
      </c>
      <c r="H6" s="5" t="str">
        <f t="shared" si="0"/>
        <v>{"CategoriaId": {"Kind": "number", "Value": 1},"Nome": {"Kind": "string", "Value": "Eletrônico"}}</v>
      </c>
    </row>
    <row r="7" spans="1:8" ht="28.8" x14ac:dyDescent="0.3">
      <c r="A7">
        <f t="shared" si="1"/>
        <v>5</v>
      </c>
      <c r="B7">
        <v>1</v>
      </c>
      <c r="C7" s="5" t="str">
        <f t="shared" si="2"/>
        <v>João Silva</v>
      </c>
      <c r="D7">
        <v>2</v>
      </c>
      <c r="E7" t="s">
        <v>17</v>
      </c>
      <c r="F7" s="3">
        <v>50</v>
      </c>
      <c r="G7" s="11">
        <v>1</v>
      </c>
      <c r="H7" s="5" t="str">
        <f t="shared" si="0"/>
        <v>{"CategoriaId": {"Kind": "number", "Value": 2},"Nome": {"Kind": "string", "Value": "Livros"}}</v>
      </c>
    </row>
    <row r="8" spans="1:8" ht="28.8" x14ac:dyDescent="0.3">
      <c r="A8">
        <f t="shared" si="1"/>
        <v>6</v>
      </c>
      <c r="B8">
        <v>2</v>
      </c>
      <c r="C8" s="5" t="str">
        <f t="shared" si="2"/>
        <v>Maria Oliveira</v>
      </c>
      <c r="D8">
        <v>2</v>
      </c>
      <c r="E8" t="s">
        <v>18</v>
      </c>
      <c r="F8" s="3">
        <v>200</v>
      </c>
      <c r="G8" s="11">
        <v>3</v>
      </c>
      <c r="H8" s="5" t="str">
        <f t="shared" si="0"/>
        <v>{"CategoriaId": {"Kind": "number", "Value": 2},"Nome": {"Kind": "string", "Value": "Livros"}}</v>
      </c>
    </row>
    <row r="9" spans="1:8" ht="28.8" x14ac:dyDescent="0.3">
      <c r="A9">
        <f>ROW(A9)-2</f>
        <v>7</v>
      </c>
      <c r="B9">
        <v>1</v>
      </c>
      <c r="C9" s="5" t="str">
        <f t="shared" si="2"/>
        <v>João Silva</v>
      </c>
      <c r="D9">
        <v>1</v>
      </c>
      <c r="E9" t="s">
        <v>16</v>
      </c>
      <c r="F9" s="3">
        <v>100</v>
      </c>
      <c r="G9" s="11">
        <v>2</v>
      </c>
      <c r="H9" s="5" t="str">
        <f t="shared" si="0"/>
        <v>{"CategoriaId": {"Kind": "number", "Value": 1},"Nome": {"Kind": "string", "Value": "Eletrônico"}}</v>
      </c>
    </row>
    <row r="10" spans="1:8" ht="28.8" x14ac:dyDescent="0.3">
      <c r="A10">
        <f t="shared" si="1"/>
        <v>8</v>
      </c>
      <c r="B10">
        <v>1</v>
      </c>
      <c r="C10" s="5" t="str">
        <f t="shared" si="2"/>
        <v>João Silva</v>
      </c>
      <c r="D10">
        <v>2</v>
      </c>
      <c r="E10" t="s">
        <v>17</v>
      </c>
      <c r="F10" s="3">
        <v>50</v>
      </c>
      <c r="G10" s="11">
        <v>1</v>
      </c>
      <c r="H10" s="5" t="str">
        <f t="shared" si="0"/>
        <v>{"CategoriaId": {"Kind": "number", "Value": 2},"Nome": {"Kind": "string", "Value": "Livros"}}</v>
      </c>
    </row>
    <row r="11" spans="1:8" ht="28.8" x14ac:dyDescent="0.3">
      <c r="A11">
        <f t="shared" si="1"/>
        <v>9</v>
      </c>
      <c r="B11">
        <v>2</v>
      </c>
      <c r="C11" s="5" t="str">
        <f t="shared" si="2"/>
        <v>Maria Oliveira</v>
      </c>
      <c r="D11">
        <v>3</v>
      </c>
      <c r="E11" t="s">
        <v>18</v>
      </c>
      <c r="F11" s="3">
        <v>200</v>
      </c>
      <c r="G11" s="11">
        <v>3</v>
      </c>
      <c r="H11" s="5" t="str">
        <f t="shared" si="0"/>
        <v>{"CategoriaId": {"Kind": "number", "Value": 3},"Nome": {"Kind": "string", "Value": "Escritório"}}</v>
      </c>
    </row>
    <row r="12" spans="1:8" ht="28.8" x14ac:dyDescent="0.3">
      <c r="A12">
        <f t="shared" si="1"/>
        <v>10</v>
      </c>
      <c r="B12">
        <v>1</v>
      </c>
      <c r="C12" s="5" t="str">
        <f t="shared" si="2"/>
        <v>João Silva</v>
      </c>
      <c r="D12">
        <v>1</v>
      </c>
      <c r="E12" t="s">
        <v>16</v>
      </c>
      <c r="F12" s="3">
        <v>100</v>
      </c>
      <c r="G12" s="11">
        <v>2</v>
      </c>
      <c r="H12" s="5" t="str">
        <f t="shared" si="0"/>
        <v>{"CategoriaId": {"Kind": "number", "Value": 1},"Nome": {"Kind": "string", "Value": "Eletrônico"}}</v>
      </c>
    </row>
    <row r="13" spans="1:8" ht="28.8" x14ac:dyDescent="0.3">
      <c r="A13">
        <f t="shared" si="1"/>
        <v>11</v>
      </c>
      <c r="B13">
        <v>1</v>
      </c>
      <c r="C13" s="5" t="str">
        <f t="shared" si="2"/>
        <v>João Silva</v>
      </c>
      <c r="D13">
        <v>2</v>
      </c>
      <c r="E13" t="s">
        <v>17</v>
      </c>
      <c r="F13" s="3">
        <v>50</v>
      </c>
      <c r="G13" s="11">
        <v>1</v>
      </c>
      <c r="H13" s="5" t="str">
        <f t="shared" si="0"/>
        <v>{"CategoriaId": {"Kind": "number", "Value": 2},"Nome": {"Kind": "string", "Value": "Livros"}}</v>
      </c>
    </row>
    <row r="14" spans="1:8" ht="28.8" x14ac:dyDescent="0.3">
      <c r="A14">
        <f t="shared" si="1"/>
        <v>12</v>
      </c>
      <c r="B14">
        <v>2</v>
      </c>
      <c r="C14" s="5" t="str">
        <f t="shared" si="2"/>
        <v>Maria Oliveira</v>
      </c>
      <c r="D14">
        <v>3</v>
      </c>
      <c r="E14" t="s">
        <v>18</v>
      </c>
      <c r="F14" s="3">
        <v>200</v>
      </c>
      <c r="G14" s="11">
        <v>3</v>
      </c>
      <c r="H14" s="5" t="str">
        <f t="shared" si="0"/>
        <v>{"CategoriaId": {"Kind": "number", "Value": 3},"Nome": {"Kind": "string", "Value": "Escritório"}}</v>
      </c>
    </row>
    <row r="15" spans="1:8" ht="28.8" x14ac:dyDescent="0.3">
      <c r="A15">
        <f>ROW(A15)-2</f>
        <v>13</v>
      </c>
      <c r="B15">
        <v>1</v>
      </c>
      <c r="C15" s="5" t="str">
        <f t="shared" si="2"/>
        <v>João Silva</v>
      </c>
      <c r="D15">
        <v>1</v>
      </c>
      <c r="E15" t="s">
        <v>16</v>
      </c>
      <c r="F15" s="3">
        <v>100</v>
      </c>
      <c r="G15" s="11">
        <v>2</v>
      </c>
      <c r="H15" s="5" t="str">
        <f t="shared" si="0"/>
        <v>{"CategoriaId": {"Kind": "number", "Value": 1},"Nome": {"Kind": "string", "Value": "Eletrônico"}}</v>
      </c>
    </row>
    <row r="16" spans="1:8" ht="28.8" x14ac:dyDescent="0.3">
      <c r="A16">
        <f t="shared" si="1"/>
        <v>14</v>
      </c>
      <c r="B16">
        <v>1</v>
      </c>
      <c r="C16" s="5" t="str">
        <f t="shared" si="2"/>
        <v>João Silva</v>
      </c>
      <c r="D16">
        <v>2</v>
      </c>
      <c r="E16" t="s">
        <v>17</v>
      </c>
      <c r="F16" s="3">
        <v>50</v>
      </c>
      <c r="G16" s="11">
        <v>1</v>
      </c>
      <c r="H16" s="5" t="str">
        <f t="shared" si="0"/>
        <v>{"CategoriaId": {"Kind": "number", "Value": 2},"Nome": {"Kind": "string", "Value": "Livros"}}</v>
      </c>
    </row>
    <row r="17" spans="1:8" ht="28.8" x14ac:dyDescent="0.3">
      <c r="A17">
        <f t="shared" si="1"/>
        <v>15</v>
      </c>
      <c r="B17">
        <v>2</v>
      </c>
      <c r="C17" s="5" t="str">
        <f t="shared" si="2"/>
        <v>Maria Oliveira</v>
      </c>
      <c r="D17">
        <v>3</v>
      </c>
      <c r="E17" t="s">
        <v>18</v>
      </c>
      <c r="F17" s="3">
        <v>200</v>
      </c>
      <c r="G17" s="11">
        <v>3</v>
      </c>
      <c r="H17" s="5" t="str">
        <f t="shared" ref="H17:H38" si="3">ObterRegistro("Categorias","CategoriaId",D17)</f>
        <v>{"CategoriaId": {"Kind": "number", "Value": 3},"Nome": {"Kind": "string", "Value": "Escritório"}}</v>
      </c>
    </row>
    <row r="18" spans="1:8" ht="28.8" x14ac:dyDescent="0.3">
      <c r="A18">
        <f t="shared" si="1"/>
        <v>16</v>
      </c>
      <c r="B18">
        <v>1</v>
      </c>
      <c r="C18" s="5" t="str">
        <f t="shared" si="2"/>
        <v>João Silva</v>
      </c>
      <c r="D18">
        <v>1</v>
      </c>
      <c r="E18" t="s">
        <v>16</v>
      </c>
      <c r="F18" s="3">
        <v>100</v>
      </c>
      <c r="G18" s="11">
        <v>2</v>
      </c>
      <c r="H18" s="5" t="str">
        <f t="shared" si="3"/>
        <v>{"CategoriaId": {"Kind": "number", "Value": 1},"Nome": {"Kind": "string", "Value": "Eletrônico"}}</v>
      </c>
    </row>
    <row r="19" spans="1:8" ht="28.8" x14ac:dyDescent="0.3">
      <c r="A19">
        <f t="shared" si="1"/>
        <v>17</v>
      </c>
      <c r="B19">
        <v>1</v>
      </c>
      <c r="C19" s="5" t="str">
        <f t="shared" si="2"/>
        <v>João Silva</v>
      </c>
      <c r="D19">
        <v>2</v>
      </c>
      <c r="E19" t="s">
        <v>17</v>
      </c>
      <c r="F19" s="3">
        <v>50</v>
      </c>
      <c r="G19" s="11">
        <v>1</v>
      </c>
      <c r="H19" s="5" t="str">
        <f t="shared" si="3"/>
        <v>{"CategoriaId": {"Kind": "number", "Value": 2},"Nome": {"Kind": "string", "Value": "Livros"}}</v>
      </c>
    </row>
    <row r="20" spans="1:8" ht="28.8" x14ac:dyDescent="0.3">
      <c r="A20">
        <f t="shared" si="1"/>
        <v>18</v>
      </c>
      <c r="B20">
        <v>2</v>
      </c>
      <c r="C20" s="5" t="str">
        <f t="shared" si="2"/>
        <v>Maria Oliveira</v>
      </c>
      <c r="D20">
        <v>3</v>
      </c>
      <c r="E20" t="s">
        <v>18</v>
      </c>
      <c r="F20" s="3">
        <v>200</v>
      </c>
      <c r="G20" s="11">
        <v>3</v>
      </c>
      <c r="H20" s="5" t="str">
        <f t="shared" si="3"/>
        <v>{"CategoriaId": {"Kind": "number", "Value": 3},"Nome": {"Kind": "string", "Value": "Escritório"}}</v>
      </c>
    </row>
    <row r="21" spans="1:8" ht="28.8" x14ac:dyDescent="0.3">
      <c r="A21">
        <f>ROW(A21)-2</f>
        <v>19</v>
      </c>
      <c r="B21">
        <v>1</v>
      </c>
      <c r="C21" s="5" t="str">
        <f t="shared" si="2"/>
        <v>João Silva</v>
      </c>
      <c r="D21">
        <v>1</v>
      </c>
      <c r="E21" t="s">
        <v>16</v>
      </c>
      <c r="F21" s="3">
        <v>100</v>
      </c>
      <c r="G21" s="11">
        <v>2</v>
      </c>
      <c r="H21" s="5" t="str">
        <f t="shared" si="3"/>
        <v>{"CategoriaId": {"Kind": "number", "Value": 1},"Nome": {"Kind": "string", "Value": "Eletrônico"}}</v>
      </c>
    </row>
    <row r="22" spans="1:8" ht="28.8" x14ac:dyDescent="0.3">
      <c r="A22">
        <f t="shared" si="1"/>
        <v>20</v>
      </c>
      <c r="B22">
        <v>1</v>
      </c>
      <c r="C22" s="5" t="str">
        <f t="shared" si="2"/>
        <v>João Silva</v>
      </c>
      <c r="D22">
        <v>2</v>
      </c>
      <c r="E22" t="s">
        <v>17</v>
      </c>
      <c r="F22" s="3">
        <v>50</v>
      </c>
      <c r="G22" s="11">
        <v>1</v>
      </c>
      <c r="H22" s="5" t="str">
        <f t="shared" si="3"/>
        <v>{"CategoriaId": {"Kind": "number", "Value": 2},"Nome": {"Kind": "string", "Value": "Livros"}}</v>
      </c>
    </row>
    <row r="23" spans="1:8" ht="28.8" x14ac:dyDescent="0.3">
      <c r="A23">
        <f t="shared" si="1"/>
        <v>21</v>
      </c>
      <c r="B23">
        <v>2</v>
      </c>
      <c r="C23" s="5" t="str">
        <f t="shared" si="2"/>
        <v>Maria Oliveira</v>
      </c>
      <c r="D23">
        <v>3</v>
      </c>
      <c r="E23" t="s">
        <v>18</v>
      </c>
      <c r="F23" s="3">
        <v>200</v>
      </c>
      <c r="G23" s="11">
        <v>3</v>
      </c>
      <c r="H23" s="5" t="str">
        <f t="shared" si="3"/>
        <v>{"CategoriaId": {"Kind": "number", "Value": 3},"Nome": {"Kind": "string", "Value": "Escritório"}}</v>
      </c>
    </row>
    <row r="24" spans="1:8" ht="28.8" x14ac:dyDescent="0.3">
      <c r="A24">
        <f t="shared" si="1"/>
        <v>22</v>
      </c>
      <c r="B24">
        <v>1</v>
      </c>
      <c r="C24" s="5" t="str">
        <f t="shared" si="2"/>
        <v>João Silva</v>
      </c>
      <c r="D24">
        <v>1</v>
      </c>
      <c r="E24" t="s">
        <v>16</v>
      </c>
      <c r="F24" s="3">
        <v>100</v>
      </c>
      <c r="G24" s="11">
        <v>2</v>
      </c>
      <c r="H24" s="5" t="str">
        <f t="shared" si="3"/>
        <v>{"CategoriaId": {"Kind": "number", "Value": 1},"Nome": {"Kind": "string", "Value": "Eletrônico"}}</v>
      </c>
    </row>
    <row r="25" spans="1:8" ht="28.8" x14ac:dyDescent="0.3">
      <c r="A25">
        <f t="shared" si="1"/>
        <v>23</v>
      </c>
      <c r="B25">
        <v>1</v>
      </c>
      <c r="C25" s="5" t="str">
        <f t="shared" si="2"/>
        <v>João Silva</v>
      </c>
      <c r="D25">
        <v>2</v>
      </c>
      <c r="E25" t="s">
        <v>17</v>
      </c>
      <c r="F25" s="3">
        <v>50</v>
      </c>
      <c r="G25" s="11">
        <v>1</v>
      </c>
      <c r="H25" s="5" t="str">
        <f t="shared" si="3"/>
        <v>{"CategoriaId": {"Kind": "number", "Value": 2},"Nome": {"Kind": "string", "Value": "Livros"}}</v>
      </c>
    </row>
    <row r="26" spans="1:8" ht="28.8" x14ac:dyDescent="0.3">
      <c r="A26">
        <f t="shared" si="1"/>
        <v>24</v>
      </c>
      <c r="B26">
        <v>2</v>
      </c>
      <c r="C26" s="5" t="str">
        <f t="shared" si="2"/>
        <v>Maria Oliveira</v>
      </c>
      <c r="D26">
        <v>3</v>
      </c>
      <c r="E26" t="s">
        <v>18</v>
      </c>
      <c r="F26" s="3">
        <v>200</v>
      </c>
      <c r="G26" s="11">
        <v>3</v>
      </c>
      <c r="H26" s="5" t="str">
        <f t="shared" si="3"/>
        <v>{"CategoriaId": {"Kind": "number", "Value": 3},"Nome": {"Kind": "string", "Value": "Escritório"}}</v>
      </c>
    </row>
    <row r="27" spans="1:8" ht="28.8" x14ac:dyDescent="0.3">
      <c r="A27">
        <f>ROW(A27)-2</f>
        <v>25</v>
      </c>
      <c r="B27">
        <v>1</v>
      </c>
      <c r="C27" s="5" t="str">
        <f t="shared" si="2"/>
        <v>João Silva</v>
      </c>
      <c r="D27">
        <v>1</v>
      </c>
      <c r="E27" t="s">
        <v>16</v>
      </c>
      <c r="F27" s="3">
        <v>100</v>
      </c>
      <c r="G27" s="11">
        <v>2</v>
      </c>
      <c r="H27" s="5" t="str">
        <f t="shared" si="3"/>
        <v>{"CategoriaId": {"Kind": "number", "Value": 1},"Nome": {"Kind": "string", "Value": "Eletrônico"}}</v>
      </c>
    </row>
    <row r="28" spans="1:8" ht="28.8" x14ac:dyDescent="0.3">
      <c r="A28">
        <f t="shared" si="1"/>
        <v>26</v>
      </c>
      <c r="B28">
        <v>1</v>
      </c>
      <c r="C28" s="5" t="str">
        <f t="shared" si="2"/>
        <v>João Silva</v>
      </c>
      <c r="D28">
        <v>2</v>
      </c>
      <c r="E28" t="s">
        <v>17</v>
      </c>
      <c r="F28" s="3">
        <v>50</v>
      </c>
      <c r="G28" s="11">
        <v>1</v>
      </c>
      <c r="H28" s="5" t="str">
        <f t="shared" si="3"/>
        <v>{"CategoriaId": {"Kind": "number", "Value": 2},"Nome": {"Kind": "string", "Value": "Livros"}}</v>
      </c>
    </row>
    <row r="29" spans="1:8" ht="28.8" x14ac:dyDescent="0.3">
      <c r="A29">
        <f t="shared" si="1"/>
        <v>27</v>
      </c>
      <c r="B29">
        <v>2</v>
      </c>
      <c r="C29" s="5" t="str">
        <f t="shared" si="2"/>
        <v>Maria Oliveira</v>
      </c>
      <c r="D29">
        <v>3</v>
      </c>
      <c r="E29" t="s">
        <v>18</v>
      </c>
      <c r="F29" s="3">
        <v>200</v>
      </c>
      <c r="G29" s="11">
        <v>3</v>
      </c>
      <c r="H29" s="5" t="str">
        <f t="shared" si="3"/>
        <v>{"CategoriaId": {"Kind": "number", "Value": 3},"Nome": {"Kind": "string", "Value": "Escritório"}}</v>
      </c>
    </row>
    <row r="30" spans="1:8" ht="28.8" x14ac:dyDescent="0.3">
      <c r="A30">
        <f t="shared" si="1"/>
        <v>28</v>
      </c>
      <c r="B30">
        <v>1</v>
      </c>
      <c r="C30" s="5" t="str">
        <f t="shared" si="2"/>
        <v>João Silva</v>
      </c>
      <c r="D30">
        <v>1</v>
      </c>
      <c r="E30" t="s">
        <v>16</v>
      </c>
      <c r="F30" s="3">
        <v>100</v>
      </c>
      <c r="G30" s="11">
        <v>2</v>
      </c>
      <c r="H30" s="5" t="str">
        <f t="shared" si="3"/>
        <v>{"CategoriaId": {"Kind": "number", "Value": 1},"Nome": {"Kind": "string", "Value": "Eletrônico"}}</v>
      </c>
    </row>
    <row r="31" spans="1:8" ht="28.8" x14ac:dyDescent="0.3">
      <c r="A31">
        <f t="shared" si="1"/>
        <v>29</v>
      </c>
      <c r="B31">
        <v>1</v>
      </c>
      <c r="C31" s="5" t="str">
        <f t="shared" si="2"/>
        <v>João Silva</v>
      </c>
      <c r="D31">
        <v>2</v>
      </c>
      <c r="E31" t="s">
        <v>17</v>
      </c>
      <c r="F31" s="3">
        <v>50</v>
      </c>
      <c r="G31" s="11">
        <v>1</v>
      </c>
      <c r="H31" s="5" t="str">
        <f t="shared" si="3"/>
        <v>{"CategoriaId": {"Kind": "number", "Value": 2},"Nome": {"Kind": "string", "Value": "Livros"}}</v>
      </c>
    </row>
    <row r="32" spans="1:8" ht="28.8" x14ac:dyDescent="0.3">
      <c r="A32">
        <f t="shared" si="1"/>
        <v>30</v>
      </c>
      <c r="B32">
        <v>2</v>
      </c>
      <c r="C32" s="5" t="str">
        <f t="shared" si="2"/>
        <v>Maria Oliveira</v>
      </c>
      <c r="D32">
        <v>3</v>
      </c>
      <c r="E32" t="s">
        <v>18</v>
      </c>
      <c r="F32" s="3">
        <v>200</v>
      </c>
      <c r="G32" s="11">
        <v>3</v>
      </c>
      <c r="H32" s="5" t="str">
        <f t="shared" si="3"/>
        <v>{"CategoriaId": {"Kind": "number", "Value": 3},"Nome": {"Kind": "string", "Value": "Escritório"}}</v>
      </c>
    </row>
    <row r="33" spans="1:8" ht="28.8" x14ac:dyDescent="0.3">
      <c r="A33">
        <f>ROW(A33)-2</f>
        <v>31</v>
      </c>
      <c r="B33">
        <v>1</v>
      </c>
      <c r="C33" s="5" t="str">
        <f t="shared" si="2"/>
        <v>João Silva</v>
      </c>
      <c r="D33">
        <v>1</v>
      </c>
      <c r="E33" t="s">
        <v>16</v>
      </c>
      <c r="F33" s="3">
        <v>100</v>
      </c>
      <c r="G33" s="11">
        <v>2</v>
      </c>
      <c r="H33" s="5" t="str">
        <f t="shared" si="3"/>
        <v>{"CategoriaId": {"Kind": "number", "Value": 1},"Nome": {"Kind": "string", "Value": "Eletrônico"}}</v>
      </c>
    </row>
    <row r="34" spans="1:8" ht="28.8" x14ac:dyDescent="0.3">
      <c r="A34">
        <f t="shared" si="1"/>
        <v>32</v>
      </c>
      <c r="B34">
        <v>1</v>
      </c>
      <c r="C34" s="5" t="str">
        <f t="shared" si="2"/>
        <v>João Silva</v>
      </c>
      <c r="D34">
        <v>2</v>
      </c>
      <c r="E34" t="s">
        <v>17</v>
      </c>
      <c r="F34" s="3">
        <v>50</v>
      </c>
      <c r="G34" s="11">
        <v>1</v>
      </c>
      <c r="H34" s="5" t="str">
        <f t="shared" si="3"/>
        <v>{"CategoriaId": {"Kind": "number", "Value": 2},"Nome": {"Kind": "string", "Value": "Livros"}}</v>
      </c>
    </row>
    <row r="35" spans="1:8" ht="28.8" x14ac:dyDescent="0.3">
      <c r="A35">
        <f t="shared" si="1"/>
        <v>33</v>
      </c>
      <c r="B35">
        <v>2</v>
      </c>
      <c r="C35" s="5" t="str">
        <f t="shared" si="2"/>
        <v>Maria Oliveira</v>
      </c>
      <c r="D35">
        <v>3</v>
      </c>
      <c r="E35" t="s">
        <v>18</v>
      </c>
      <c r="F35" s="3">
        <v>200</v>
      </c>
      <c r="G35" s="11">
        <v>3</v>
      </c>
      <c r="H35" s="5" t="str">
        <f t="shared" si="3"/>
        <v>{"CategoriaId": {"Kind": "number", "Value": 3},"Nome": {"Kind": "string", "Value": "Escritório"}}</v>
      </c>
    </row>
    <row r="36" spans="1:8" ht="28.8" x14ac:dyDescent="0.3">
      <c r="A36">
        <f t="shared" si="1"/>
        <v>34</v>
      </c>
      <c r="B36">
        <v>1</v>
      </c>
      <c r="C36" s="5" t="str">
        <f t="shared" si="2"/>
        <v>João Silva</v>
      </c>
      <c r="D36">
        <v>1</v>
      </c>
      <c r="E36" t="s">
        <v>16</v>
      </c>
      <c r="F36" s="3">
        <v>100</v>
      </c>
      <c r="G36" s="11">
        <v>2</v>
      </c>
      <c r="H36" s="5" t="str">
        <f t="shared" si="3"/>
        <v>{"CategoriaId": {"Kind": "number", "Value": 1},"Nome": {"Kind": "string", "Value": "Eletrônico"}}</v>
      </c>
    </row>
    <row r="37" spans="1:8" ht="28.8" x14ac:dyDescent="0.3">
      <c r="A37">
        <f t="shared" si="1"/>
        <v>35</v>
      </c>
      <c r="B37">
        <v>1</v>
      </c>
      <c r="C37" s="5" t="str">
        <f t="shared" si="2"/>
        <v>João Silva</v>
      </c>
      <c r="D37">
        <v>2</v>
      </c>
      <c r="E37" t="s">
        <v>17</v>
      </c>
      <c r="F37" s="3">
        <v>50</v>
      </c>
      <c r="G37" s="11">
        <v>1</v>
      </c>
      <c r="H37" s="5" t="str">
        <f t="shared" si="3"/>
        <v>{"CategoriaId": {"Kind": "number", "Value": 2},"Nome": {"Kind": "string", "Value": "Livros"}}</v>
      </c>
    </row>
    <row r="38" spans="1:8" ht="28.8" x14ac:dyDescent="0.3">
      <c r="A38">
        <f t="shared" si="1"/>
        <v>36</v>
      </c>
      <c r="B38">
        <v>2</v>
      </c>
      <c r="C38" s="5" t="str">
        <f t="shared" si="2"/>
        <v>Maria Oliveira</v>
      </c>
      <c r="D38">
        <v>3</v>
      </c>
      <c r="E38" t="s">
        <v>18</v>
      </c>
      <c r="F38" s="3">
        <v>200</v>
      </c>
      <c r="G38" s="11">
        <v>3</v>
      </c>
      <c r="H38" s="5" t="str">
        <f t="shared" si="3"/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2026-10-25T21:22:07Z</dcterms:modified>
</cp:coreProperties>
</file>