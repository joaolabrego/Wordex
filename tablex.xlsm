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Wordex\"/>
    </mc:Choice>
  </mc:AlternateContent>
  <xr:revisionPtr revIDLastSave="0" documentId="13_ncr:1_{6244367F-B509-4CF6-BDAC-1B37EA2E472C}" xr6:coauthVersionLast="47" xr6:coauthVersionMax="47" xr10:uidLastSave="{00000000-0000-0000-0000-000000000000}"/>
  <bookViews>
    <workbookView xWindow="-108" yWindow="-108" windowWidth="23256" windowHeight="13176" xr2:uid="{CF45524C-4F79-4E14-85FA-55B971EE0993}"/>
  </bookViews>
  <sheets>
    <sheet name="ROOT" sheetId="2" r:id="rId1"/>
    <sheet name="Clientes" sheetId="4" r:id="rId2"/>
    <sheet name="Produtos" sheetId="6" r:id="rId3"/>
    <sheet name="Categorias" sheetId="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3" i="2" l="1"/>
  <c r="E3" i="2"/>
  <c r="G3" i="6" a="1"/>
  <c r="E5" i="4" a="1"/>
  <c r="E4" i="4" a="1"/>
  <c r="E3" i="4" a="1"/>
  <c r="F4" i="4"/>
  <c r="D3" i="2" a="1"/>
  <c r="G4" i="6" a="1"/>
  <c r="F3" i="4"/>
  <c r="G4" i="4"/>
  <c r="G3" i="4"/>
  <c r="G5" i="6" a="1"/>
  <c r="G6" i="6" a="1"/>
  <c r="G10" i="6" a="1"/>
  <c r="G9" i="6" a="1"/>
  <c r="G8" i="6" a="1"/>
  <c r="G7" i="6" a="1"/>
  <c r="G5" i="4"/>
  <c r="F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<sst xmlns="http://schemas.openxmlformats.org/spreadsheetml/2006/main" count="75" uniqueCount="41">
  <si>
    <t>ClienteId</t>
  </si>
  <si>
    <t>Nome</t>
  </si>
  <si>
    <t>CNPJ</t>
  </si>
  <si>
    <t>Evadin S/A</t>
  </si>
  <si>
    <t>12.345.678/0001-90</t>
  </si>
  <si>
    <t>Email</t>
  </si>
  <si>
    <t>Telefone</t>
  </si>
  <si>
    <t>João Silva</t>
  </si>
  <si>
    <t>Maria Oliveira</t>
  </si>
  <si>
    <t>joaosilva@gmail.com</t>
  </si>
  <si>
    <t>mariaoliveira@gmail.com</t>
  </si>
  <si>
    <t>(11) 98765-4321</t>
  </si>
  <si>
    <t>(21) 91234-5678</t>
  </si>
  <si>
    <t>Preço</t>
  </si>
  <si>
    <t>Quantidade</t>
  </si>
  <si>
    <t>CategoriaId</t>
  </si>
  <si>
    <t>Produto A</t>
  </si>
  <si>
    <t>Produto B</t>
  </si>
  <si>
    <t>Produto C</t>
  </si>
  <si>
    <t>Eletrônico</t>
  </si>
  <si>
    <t>Livros</t>
  </si>
  <si>
    <t>Escritório</t>
  </si>
  <si>
    <t>ProdutoId</t>
  </si>
  <si>
    <t>Categoria</t>
  </si>
  <si>
    <t>Clientes</t>
  </si>
  <si>
    <t>TotaisProdutos</t>
  </si>
  <si>
    <t>TotaisProdutosGerais</t>
  </si>
  <si>
    <t>TotaisProdutosGrafico</t>
  </si>
  <si>
    <t>string</t>
  </si>
  <si>
    <t>collection</t>
  </si>
  <si>
    <t>graph</t>
  </si>
  <si>
    <t>totals</t>
  </si>
  <si>
    <t>number</t>
  </si>
  <si>
    <t>object</t>
  </si>
  <si>
    <t>Produtos</t>
  </si>
  <si>
    <t>Tipos de dados</t>
  </si>
  <si>
    <t>image</t>
  </si>
  <si>
    <t>D:\C#\SGSI_CRUDEX\CRUDEX\StaticFiles\Assets\Images\evadin.png</t>
  </si>
  <si>
    <t>Logotipo</t>
  </si>
  <si>
    <t>Juca Bala de Oliveira</t>
  </si>
  <si>
    <t>jucabala@gmail,com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</si>
</sst>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20"/>
      <color rgb="FFFF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/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3" fontId="1" fillId="0" borderId="0" xfId="0" applyNumberFormat="1" applyFont="1" applyAlignment="1">
      <alignment horizontal="center"/>
    </xf>
    <xf numFmtId="3" fontId="0" fillId="0" borderId="0" xfId="0" applyNumberFormat="1"/>
    <xf numFmtId="0" fontId="3" fillId="0" borderId="0" xfId="0" applyFont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754380</xdr:colOff>
          <xdr:row>9</xdr:row>
          <xdr:rowOff>129540</xdr:rowOff>
        </xdr:from>
        <xdr:to>
          <xdr:col>3</xdr:col>
          <xdr:colOff>2133600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arquivo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3040380</xdr:colOff>
          <xdr:row>9</xdr:row>
          <xdr:rowOff>114300</xdr:rowOff>
        </xdr:from>
        <xdr:to>
          <xdr:col>3</xdr:col>
          <xdr:colOff>4419600</xdr:colOff>
          <xdr:row>12</xdr:row>
          <xdr:rowOff>106680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Ler Imagem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B8C3-04B2-4CA8-B816-34B0B82B1AFC}">
  <sheetPr codeName="Planilha1"/>
  <dimension ref="A1:F17"/>
  <sheetViews>
    <sheetView tabSelected="1" workbookViewId="0">
      <selection activeCell="F3" sqref="F3"/>
    </sheetView>
  </sheetViews>
  <sheetFormatPr defaultColWidth="8.88671875" defaultRowHeight="14.4" x14ac:dyDescent="0.3"/>
  <cols>
    <col min="1" max="1" width="10.109375" style="8" bestFit="1" customWidth="1"/>
    <col min="2" max="2" width="17.88671875" style="8" bestFit="1" customWidth="1"/>
    <col min="3" max="3" width="17.88671875" style="9" customWidth="1"/>
    <col min="4" max="4" width="81.5546875" style="9" bestFit="1" customWidth="1"/>
    <col min="5" max="5" width="41.6640625" style="9" bestFit="1" customWidth="1"/>
    <col min="6" max="6" width="45.109375" style="8" bestFit="1" customWidth="1"/>
    <col min="7" max="16384" width="8.88671875" style="8"/>
  </cols>
  <sheetData>
    <row r="1" spans="1:6" s="6" customFormat="1" x14ac:dyDescent="0.3">
      <c r="A1" s="6" t="s">
        <v>1</v>
      </c>
      <c r="B1" s="6" t="s">
        <v>2</v>
      </c>
      <c r="C1" s="7" t="s">
        <v>38</v>
      </c>
      <c r="D1" s="7" t="s">
        <v>24</v>
      </c>
      <c r="E1" s="7" t="s">
        <v>26</v>
      </c>
      <c r="F1" s="6" t="s">
        <v>27</v>
      </c>
    </row>
    <row r="2" spans="1:6" s="6" customFormat="1" x14ac:dyDescent="0.3">
      <c r="A2" s="6" t="s">
        <v>28</v>
      </c>
      <c r="B2" s="6" t="s">
        <v>28</v>
      </c>
      <c r="C2" s="7" t="s">
        <v>36</v>
      </c>
      <c r="D2" s="7" t="s">
        <v>29</v>
      </c>
      <c r="E2" s="7" t="s">
        <v>31</v>
      </c>
      <c r="F2" s="6" t="s">
        <v>30</v>
      </c>
    </row>
    <row r="3" spans="1:6" ht="409.6" x14ac:dyDescent="0.3">
      <c r="A3" s="8" t="s">
        <v>3</v>
      </c>
      <c r="B3" s="8" t="s">
        <v>4</v>
      </c>
      <c r="C3" s="9" t="s">
        <v>37</v>
      </c>
      <c r="D3" s="5" t="str" cm="1">
        <f t="array" ref="D3">ObterRegistros("Clientes")</f>
        <v>[{"ClienteId": {"Kind": "number", "Value": 1},"Nome": {"Kind": "string", "Value": "João Silva"},"Email": {"Kind": "string", "Value": "joaosilva@gmail.com"},"Telefone": {"Kind": "string", "Value": "(11) 98765-4321"},"Produtos": {"Kind": "collection", "Items": [{"ProdutoId": {"Kind": "number", "Value": 1},"ClienteId": {"Kind": "number", "Value": 1},"CategoriaId": {"Kind": "number", "Value": 1},"Nome": {"Kind": "string", "Value": "Produto A"},"Preço": {"Kind": "number", "Value": 100},"Quantidade": {"Kind": "number", "Value": 100},"Categoria": {"Kind": "object", "Value": {"CategoriaId": {"Kind": "number", "Value": 1},"Nome": {"Kind": "string", "Value": "Eletrônico"}}}},{"ProdutoId": {"Kind": "number", "Value": 2},"ClienteId": {"Kind": "number", "Value": 1},"CategoriaId": {"Kind": "number", "Value": 2},"Nome": {"Kind": "string", "Value": "Produto B"},"Preço": {"Kind": "number", "Value": 50},"Quantidade": {"Kind": "number", "Value": 50},"Categoria": {"Kind": "object", "Value": {"CategoriaId": {"Kind": "number", "Value": 2},"Nome": {"Kind": "string", "Value": "Livros"}}}},{"ProdutoId": {"Kind": "number", "Value": 3},"ClienteId": {"Kind": "number", "Value": 1},"CategoriaId": {"Kind": "number", "Value": 1},"Nome": {"Kind": "string", "Value": "Produto A"},"Preço": {"Kind": "number", "Value": 200},"Quantidade": {"Kind": "number", "Value": 1000},"Categoria": {"Kind": "object", "Value": {"CategoriaId": {"Kind": "number", "Value": 1},"Nome": {"Kind": "string", "Value": "Eletrônico"}}}}]},"TotaisProdutos": {"Kind": "totals", "Items": [{"PreçoSum": {"Kind": "number", "Value": 350},"QuantidadeSum": {"Kind": "number", "Value": 1150}}]},"TotaisProdutosGrafico": {"Kind": "graph", "Items": [{"PreçoSum": {"Kind": "number", "Value": 350},"PreçoSum_Label": {"Kind": "string", "Value": "Preço"},"QuantidadeSum": {"Kind": "number", "Value": 1150},"QuantidadeSum_Label": {"Kind": "string", "Value": "Quantidade"}}]}},{"ClienteId": {"Kind": "number", "Value": 2},"Nome": {"Kind": "string", "Value": "Maria Oliveira"},"Email": {"Kind": "string", "Value": "mariaoliveira@gmail.com"},"Telefone": {"Kind": "string", "Value": "(21) 91234-5678"},"Produtos": {"Kind": "collection", "Items": [{"ProdutoId": {"Kind": "number", "Value": 4},"ClienteId": {"Kind": "number", "Value": 2},"CategoriaId": {"Kind": "number", "Value": 2},"Nome": {"Kind": "string", "Value": "Produto B"},"Preço": {"Kind": "number", "Value": 200},"Quantidade": {"Kind": "number", "Value": 500},"Categoria": {"Kind": "object", "Value": {"CategoriaId": {"Kind": "number", "Value": 2},"Nome": {"Kind": "string", "Value": "Livros"}}}},{"ProdutoId": {"Kind": "number", "Value": 5},"ClienteId": {"Kind": "number", "Value": 2},"CategoriaId": {"Kind": "number", "Value": 3},"Nome": {"Kind": "string", "Value": "Produto C"},"Preço": {"Kind": "number", "Value": 200},"Quantidade": {"Kind": "number", "Value": 10},"Categoria": {"Kind": "object", "Value": {"CategoriaId": {"Kind": "number", "Value": 3},"Nome": {"Kind": "string", "Value": "Escritório"}}}},{"ProdutoId": {"Kind": "number", "Value": 6},"ClienteId": {"Kind": "number", "Value": 2},"CategoriaId": {"Kind": "number", "Value": 1},"Nome": {"Kind": "string", "Value": "Produto A"},"Preço": {"Kind": "number", "Value": 200},"Quantidade": {"Kind": "number", "Value": 50},"Categoria": {"Kind": "object", "Value": {"CategoriaId": {"Kind": "number", "Value": 1},"Nome": {"Kind": "string", "Value": "Eletrônico"}}}}]},"TotaisProdutos": {"Kind": "totals", "Items": [{"PreçoSum": {"Kind": "number", "Value": 600},"QuantidadeSum": {"Kind": "number", "Value": 560}}]},"TotaisProdutosGrafico": {"Kind": "graph", "Items": [{"PreçoSum": {"Kind": "number", "Value": 600},"PreçoSum_Label": {"Kind": "string", "Value": "Preço"},"QuantidadeSum": {"Kind": "number", "Value": 560},"QuantidadeSum_Label": {"Kind": "string", "Value": "Quantidade"}}]}},{"ClienteId": {"Kind": "number", "Value": 3},"Nome": {"Kind": "string", "Value": "Juca Bala de Oliveira"},"Email": {"Kind": "string", "Value": "jucabala@gmail,com"},"Telefone": {"Kind": "string", "Value": "(21) 91234-5678"},"Produtos": {"Kind": "collection", "Items": [{"ProdutoId": {"Kind": "number", "Value": 7},"ClienteId": {"Kind": "number", "Value": 3},"CategoriaId": {"Kind": "number", "Value": 2},"Nome": {"Kind": "string", "Value": "Produto B"},"Preço": {"Kind": "number", "Value": 200},"Quantidade": {"Kind": "number", "Value": 35},"Categoria": {"Kind": "object", "Value": {"CategoriaId": {"Kind": "number", "Value": 2},"Nome": {"Kind": "string", "Value": "Livros"}}}},{"ProdutoId": {"Kind": "number", "Value": 8},"ClienteId": {"Kind": "number", "Value": 3},"CategoriaId": {"Kind": "number", "Value": 3},"Nome": {"Kind": "string", "Value": "Produto C"},"Preço": {"Kind": "number", "Value": 200},"Quantidade": {"Kind": "number", "Value": 145},"Categoria": {"Kind": "object", "Value": {"CategoriaId": {"Kind": "number", "Value": 3},"Nome": {"Kind": "string", "Value": "Escritório"}}}}]},"TotaisProdutos": {"Kind": "totals", "Items": [{"PreçoSum": {"Kind": "number", "Value": 400},"QuantidadeSum": {"Kind": "number", "Value": 180}}]},"TotaisProdutosGrafico": {"Kind": "graph", "Items": [{"PreçoSum": {"Kind": "number", "Value": 400},"PreçoSum_Label": {"Kind": "string", "Value": "Preço"},"QuantidadeSum": {"Kind": "number", "Value": 180},"QuantidadeSum_Label": {"Kind": "string", "Value": "Quantidade"}}]}}]</v>
      </c>
      <c r="E3" s="9" t="str">
        <f>ObterRegistroTotal("Produtos", "", "Preço, Quantidade", "Sum")</f>
        <v>[{"PreçoSum": {"Kind": "number", "Value": 1350},"QuantidadeSum": {"Kind": "number", "Value": 1890}}]</v>
      </c>
      <c r="F3" s="9" t="str">
        <f>ObterGrafico("Produtos", "", "Preço, Quantidade", "Sum")</f>
        <v>[{"PreçoSum": {"Kind": "number", "Value": 1350},"PreçoSum_Label": {"Kind": "string", "Value": "Preço"},"QuantidadeSum": {"Kind": "number", "Value": 1890},"QuantidadeSum_Label": {"Kind": "string", "Value": "Quantidade"}}]</v>
      </c>
    </row>
    <row r="8" spans="1:6" ht="15" thickBot="1" x14ac:dyDescent="0.35"/>
    <row r="9" spans="1:6" ht="15" thickBot="1" x14ac:dyDescent="0.35">
      <c r="F9" s="15" t="s">
        <v>35</v>
      </c>
    </row>
    <row r="10" spans="1:6" x14ac:dyDescent="0.3">
      <c r="F10" s="13" t="s">
        <v>28</v>
      </c>
    </row>
    <row r="11" spans="1:6" x14ac:dyDescent="0.3">
      <c r="F11" s="13" t="s">
        <v>29</v>
      </c>
    </row>
    <row r="12" spans="1:6" x14ac:dyDescent="0.3">
      <c r="F12" s="13" t="s">
        <v>31</v>
      </c>
    </row>
    <row r="13" spans="1:6" x14ac:dyDescent="0.3">
      <c r="F13" s="13" t="s">
        <v>30</v>
      </c>
    </row>
    <row r="14" spans="1:6" x14ac:dyDescent="0.3">
      <c r="F14" s="13" t="s">
        <v>32</v>
      </c>
    </row>
    <row r="15" spans="1:6" x14ac:dyDescent="0.3">
      <c r="F15" s="13" t="s">
        <v>33</v>
      </c>
    </row>
    <row r="16" spans="1:6" ht="15" thickBot="1" x14ac:dyDescent="0.35">
      <c r="F16" s="14" t="s">
        <v>36</v>
      </c>
    </row>
    <row r="17" spans="1:1" ht="25.8" x14ac:dyDescent="0.3">
      <c r="A17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rarJson">
                <anchor moveWithCells="1" sizeWithCells="1">
                  <from>
                    <xdr:col>3</xdr:col>
                    <xdr:colOff>754380</xdr:colOff>
                    <xdr:row>9</xdr:row>
                    <xdr:rowOff>129540</xdr:rowOff>
                  </from>
                  <to>
                    <xdr:col>3</xdr:col>
                    <xdr:colOff>2133600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rImagem">
                <anchor moveWithCells="1" sizeWithCells="1">
                  <from>
                    <xdr:col>3</xdr:col>
                    <xdr:colOff>3040380</xdr:colOff>
                    <xdr:row>9</xdr:row>
                    <xdr:rowOff>114300</xdr:rowOff>
                  </from>
                  <to>
                    <xdr:col>3</xdr:col>
                    <xdr:colOff>4419600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AE8F5-6806-4B0B-9F66-72E5AD5CA56D}">
  <sheetPr codeName="Planilha2"/>
  <dimension ref="A1:G5"/>
  <sheetViews>
    <sheetView workbookViewId="0">
      <selection activeCell="E3" sqref="E3"/>
    </sheetView>
  </sheetViews>
  <sheetFormatPr defaultColWidth="8.88671875" defaultRowHeight="14.4" x14ac:dyDescent="0.3"/>
  <cols>
    <col min="1" max="1" width="8.6640625" style="8" bestFit="1" customWidth="1"/>
    <col min="2" max="2" width="12" style="8" bestFit="1" customWidth="1"/>
    <col min="3" max="3" width="21.88671875" style="8" bestFit="1" customWidth="1"/>
    <col min="4" max="4" width="14.33203125" style="8" bestFit="1" customWidth="1"/>
    <col min="5" max="5" width="74.77734375" style="9" customWidth="1"/>
    <col min="6" max="6" width="37.33203125" style="9" customWidth="1"/>
    <col min="7" max="7" width="41.5546875" style="9" customWidth="1"/>
    <col min="8" max="16384" width="8.88671875" style="8"/>
  </cols>
  <sheetData>
    <row r="1" spans="1:7" s="6" customFormat="1" x14ac:dyDescent="0.3">
      <c r="A1" s="6" t="s">
        <v>0</v>
      </c>
      <c r="B1" s="6" t="s">
        <v>1</v>
      </c>
      <c r="C1" s="6" t="s">
        <v>5</v>
      </c>
      <c r="D1" s="6" t="s">
        <v>6</v>
      </c>
      <c r="E1" s="7" t="s">
        <v>34</v>
      </c>
      <c r="F1" s="7" t="s">
        <v>25</v>
      </c>
      <c r="G1" s="7" t="s">
        <v>27</v>
      </c>
    </row>
    <row r="2" spans="1:7" s="6" customFormat="1" x14ac:dyDescent="0.3">
      <c r="A2" s="6" t="s">
        <v>32</v>
      </c>
      <c r="B2" s="6" t="s">
        <v>28</v>
      </c>
      <c r="C2" s="6" t="s">
        <v>28</v>
      </c>
      <c r="D2" s="6" t="s">
        <v>28</v>
      </c>
      <c r="E2" s="7" t="s">
        <v>29</v>
      </c>
      <c r="F2" s="7" t="s">
        <v>31</v>
      </c>
      <c r="G2" s="7" t="s">
        <v>30</v>
      </c>
    </row>
    <row r="3" spans="1:7" ht="201.6" x14ac:dyDescent="0.3">
      <c r="A3" s="8">
        <v>1</v>
      </c>
      <c r="B3" s="8" t="s">
        <v>7</v>
      </c>
      <c r="C3" s="8" t="s">
        <v>9</v>
      </c>
      <c r="D3" s="8" t="s">
        <v>11</v>
      </c>
      <c r="E3" s="9" t="str" cm="1">
        <f t="array" ref="E3">ObterRegistros("Produtos", "ClienteId", A3)</f>
        <v>[{"ProdutoId": {"Kind": "number", "Value": 1},"ClienteId": {"Kind": "number", "Value": 1},"CategoriaId": {"Kind": "number", "Value": 1},"Nome": {"Kind": "string", "Value": "Produto A"},"Preço": {"Kind": "number", "Value": 100},"Quantidade": {"Kind": "number", "Value": 100},"Categoria": {"Kind": "object", "Value": {"CategoriaId": {"Kind": "number", "Value": 1},"Nome": {"Kind": "string", "Value": "Eletrônico"}}}},{"ProdutoId": {"Kind": "number", "Value": 2},"ClienteId": {"Kind": "number", "Value": 1},"CategoriaId": {"Kind": "number", "Value": 2},"Nome": {"Kind": "string", "Value": "Produto B"},"Preço": {"Kind": "number", "Value": 50},"Quantidade": {"Kind": "number", "Value": 50},"Categoria": {"Kind": "object", "Value": {"CategoriaId": {"Kind": "number", "Value": 2},"Nome": {"Kind": "string", "Value": "Livros"}}}},{"ProdutoId": {"Kind": "number", "Value": 3},"ClienteId": {"Kind": "number", "Value": 1},"CategoriaId": {"Kind": "number", "Value": 1},"Nome": {"Kind": "string", "Value": "Produto A"},"Preço": {"Kind": "number", "Value": 200},"Quantidade": {"Kind": "number", "Value": 1000},"Categoria": {"Kind": "object", "Value": {"CategoriaId": {"Kind": "number", "Value": 1},"Nome": {"Kind": "string", "Value": "Eletrônico"}}}}]</v>
      </c>
      <c r="F3" s="9" t="str">
        <f>ObterRegistroTotal("Produtos", "", "Preço, Quantidade", "Sum", "ClienteId", A3)</f>
        <v>[{"PreçoSum": {"Kind": "number", "Value": 350},"QuantidadeSum": {"Kind": "number", "Value": 1150}}]</v>
      </c>
      <c r="G3" s="9" t="str">
        <f>ObterGrafico("Produtos", "", "Preço, Quantidade", "Sum", "ClienteId", A3)</f>
        <v>[{"PreçoSum": {"Kind": "number", "Value": 350},"PreçoSum_Label": {"Kind": "string", "Value": "Preço"},"QuantidadeSum": {"Kind": "number", "Value": 1150},"QuantidadeSum_Label": {"Kind": "string", "Value": "Quantidade"}}]</v>
      </c>
    </row>
    <row r="4" spans="1:7" ht="201.6" x14ac:dyDescent="0.3">
      <c r="A4" s="8">
        <v>2</v>
      </c>
      <c r="B4" s="8" t="s">
        <v>8</v>
      </c>
      <c r="C4" s="8" t="s">
        <v>10</v>
      </c>
      <c r="D4" s="8" t="s">
        <v>12</v>
      </c>
      <c r="E4" s="9" t="str" cm="1">
        <f t="array" ref="E4">ObterRegistros("Produtos", "ClienteId", A4)</f>
        <v>[{"ProdutoId": {"Kind": "number", "Value": 4},"ClienteId": {"Kind": "number", "Value": 2},"CategoriaId": {"Kind": "number", "Value": 2},"Nome": {"Kind": "string", "Value": "Produto B"},"Preço": {"Kind": "number", "Value": 200},"Quantidade": {"Kind": "number", "Value": 500},"Categoria": {"Kind": "object", "Value": {"CategoriaId": {"Kind": "number", "Value": 2},"Nome": {"Kind": "string", "Value": "Livros"}}}},{"ProdutoId": {"Kind": "number", "Value": 5},"ClienteId": {"Kind": "number", "Value": 2},"CategoriaId": {"Kind": "number", "Value": 3},"Nome": {"Kind": "string", "Value": "Produto C"},"Preço": {"Kind": "number", "Value": 200},"Quantidade": {"Kind": "number", "Value": 10},"Categoria": {"Kind": "object", "Value": {"CategoriaId": {"Kind": "number", "Value": 3},"Nome": {"Kind": "string", "Value": "Escritório"}}}},{"ProdutoId": {"Kind": "number", "Value": 6},"ClienteId": {"Kind": "number", "Value": 2},"CategoriaId": {"Kind": "number", "Value": 1},"Nome": {"Kind": "string", "Value": "Produto A"},"Preço": {"Kind": "number", "Value": 200},"Quantidade": {"Kind": "number", "Value": 50},"Categoria": {"Kind": "object", "Value": {"CategoriaId": {"Kind": "number", "Value": 1},"Nome": {"Kind": "string", "Value": "Eletrônico"}}}}]</v>
      </c>
      <c r="F4" s="9" t="str">
        <f>ObterRegistroTotal("Produtos", "", "Preço, Quantidade", "Sum", "ClienteId", A4)</f>
        <v>[{"PreçoSum": {"Kind": "number", "Value": 600},"QuantidadeSum": {"Kind": "number", "Value": 560}}]</v>
      </c>
      <c r="G4" s="9" t="str">
        <f>ObterGrafico("Produtos", "", "Preço, Quantidade", "Sum", "ClienteId", A4)</f>
        <v>[{"PreçoSum": {"Kind": "number", "Value": 600},"PreçoSum_Label": {"Kind": "string", "Value": "Preço"},"QuantidadeSum": {"Kind": "number", "Value": 560},"QuantidadeSum_Label": {"Kind": "string", "Value": "Quantidade"}}]</v>
      </c>
    </row>
    <row r="5" spans="1:7" ht="144" x14ac:dyDescent="0.3">
      <c r="A5" s="8">
        <v>3</v>
      </c>
      <c r="B5" s="8" t="s">
        <v>39</v>
      </c>
      <c r="C5" s="8" t="s">
        <v>40</v>
      </c>
      <c r="D5" s="8" t="s">
        <v>12</v>
      </c>
      <c r="E5" s="9" t="str" cm="1">
        <f t="array" ref="E5">ObterRegistros("Produtos", "ClienteId", A5)</f>
        <v>[{"ProdutoId": {"Kind": "number", "Value": 7},"ClienteId": {"Kind": "number", "Value": 3},"CategoriaId": {"Kind": "number", "Value": 2},"Nome": {"Kind": "string", "Value": "Produto B"},"Preço": {"Kind": "number", "Value": 200},"Quantidade": {"Kind": "number", "Value": 35},"Categoria": {"Kind": "object", "Value": {"CategoriaId": {"Kind": "number", "Value": 2},"Nome": {"Kind": "string", "Value": "Livros"}}}},{"ProdutoId": {"Kind": "number", "Value": 8},"ClienteId": {"Kind": "number", "Value": 3},"CategoriaId": {"Kind": "number", "Value": 3},"Nome": {"Kind": "string", "Value": "Produto C"},"Preço": {"Kind": "number", "Value": 200},"Quantidade": {"Kind": "number", "Value": 145},"Categoria": {"Kind": "object", "Value": {"CategoriaId": {"Kind": "number", "Value": 3},"Nome": {"Kind": "string", "Value": "Escritório"}}}}]</v>
      </c>
      <c r="F5" s="9" t="str">
        <f>ObterRegistroTotal("Produtos", "", "Preço, Quantidade", "Sum", "ClienteId", A5)</f>
        <v>[{"PreçoSum": {"Kind": "number", "Value": 400},"QuantidadeSum": {"Kind": "number", "Value": 180}}]</v>
      </c>
      <c r="G5" s="9" t="str">
        <f>ObterGrafico("Produtos", "", "Preço, Quantidade", "Sum", "ClienteId", A5)</f>
        <v>[{"PreçoSum": {"Kind": "number", "Value": 400},"PreçoSum_Label": {"Kind": "string", "Value": "Preço"},"QuantidadeSum": {"Kind": "number", "Value": 180},"QuantidadeSum_Label": {"Kind": "string", "Value": "Quantidade"}}]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EDF9B-5125-407B-9684-92476EC6108C}">
  <sheetPr codeName="Planilha3"/>
  <dimension ref="A1:G10"/>
  <sheetViews>
    <sheetView workbookViewId="0">
      <selection activeCell="F3" sqref="F3"/>
    </sheetView>
  </sheetViews>
  <sheetFormatPr defaultRowHeight="14.4" x14ac:dyDescent="0.3"/>
  <cols>
    <col min="1" max="1" width="9.33203125" bestFit="1" customWidth="1"/>
    <col min="2" max="2" width="8.6640625" bestFit="1" customWidth="1"/>
    <col min="3" max="3" width="10.6640625" bestFit="1" customWidth="1"/>
    <col min="4" max="4" width="8.88671875" bestFit="1" customWidth="1"/>
    <col min="5" max="5" width="6.5546875" style="3" bestFit="1" customWidth="1"/>
    <col min="6" max="6" width="10.6640625" style="11" bestFit="1" customWidth="1"/>
    <col min="7" max="7" width="54.44140625" style="5" bestFit="1" customWidth="1"/>
  </cols>
  <sheetData>
    <row r="1" spans="1:7" s="1" customFormat="1" x14ac:dyDescent="0.3">
      <c r="A1" s="1" t="s">
        <v>22</v>
      </c>
      <c r="B1" s="1" t="s">
        <v>0</v>
      </c>
      <c r="C1" s="1" t="s">
        <v>15</v>
      </c>
      <c r="D1" s="1" t="s">
        <v>1</v>
      </c>
      <c r="E1" s="2" t="s">
        <v>13</v>
      </c>
      <c r="F1" s="10" t="s">
        <v>14</v>
      </c>
      <c r="G1" s="4" t="s">
        <v>23</v>
      </c>
    </row>
    <row r="2" spans="1:7" s="1" customFormat="1" x14ac:dyDescent="0.3">
      <c r="A2" s="1" t="s">
        <v>32</v>
      </c>
      <c r="B2" s="1" t="s">
        <v>32</v>
      </c>
      <c r="C2" s="1" t="s">
        <v>32</v>
      </c>
      <c r="D2" s="1" t="s">
        <v>28</v>
      </c>
      <c r="E2" s="2" t="s">
        <v>32</v>
      </c>
      <c r="F2" s="10" t="s">
        <v>32</v>
      </c>
      <c r="G2" s="4" t="s">
        <v>33</v>
      </c>
    </row>
    <row r="3" spans="1:7" ht="28.8" x14ac:dyDescent="0.3">
      <c r="A3">
        <v>1</v>
      </c>
      <c r="B3">
        <v>1</v>
      </c>
      <c r="C3">
        <v>1</v>
      </c>
      <c r="D3" t="s">
        <v>16</v>
      </c>
      <c r="E3" s="3">
        <v>100</v>
      </c>
      <c r="F3" s="11">
        <v>100</v>
      </c>
      <c r="G3" s="5" t="str" cm="1">
        <f t="array" ref="G3">ObterRegistro("Categorias","CategoriaId",C3)</f>
        <v>{"CategoriaId": {"Kind": "number", "Value": 1},"Nome": {"Kind": "string", "Value": "Eletrônico"}}</v>
      </c>
    </row>
    <row r="4" spans="1:7" ht="28.8" x14ac:dyDescent="0.3">
      <c r="A4">
        <v>2</v>
      </c>
      <c r="B4">
        <v>1</v>
      </c>
      <c r="C4">
        <v>2</v>
      </c>
      <c r="D4" t="s">
        <v>17</v>
      </c>
      <c r="E4" s="3">
        <v>50</v>
      </c>
      <c r="F4" s="11">
        <v>50</v>
      </c>
      <c r="G4" s="5" t="str" cm="1">
        <f t="array" ref="G4">ObterRegistro("Categorias","CategoriaId",C4)</f>
        <v>{"CategoriaId": {"Kind": "number", "Value": 2},"Nome": {"Kind": "string", "Value": "Livros"}}</v>
      </c>
    </row>
    <row r="5" spans="1:7" ht="28.8" x14ac:dyDescent="0.3">
      <c r="A5">
        <v>3</v>
      </c>
      <c r="B5">
        <v>1</v>
      </c>
      <c r="C5">
        <v>1</v>
      </c>
      <c r="D5" t="s">
        <v>16</v>
      </c>
      <c r="E5" s="3">
        <v>200</v>
      </c>
      <c r="F5" s="11">
        <v>1000</v>
      </c>
      <c r="G5" s="5" t="str" cm="1">
        <f t="array" ref="G5">ObterRegistro("Categorias","CategoriaId",C5)</f>
        <v>{"CategoriaId": {"Kind": "number", "Value": 1},"Nome": {"Kind": "string", "Value": "Eletrônico"}}</v>
      </c>
    </row>
    <row r="6" spans="1:7" ht="28.8" x14ac:dyDescent="0.3">
      <c r="A6">
        <v>4</v>
      </c>
      <c r="B6">
        <v>2</v>
      </c>
      <c r="C6">
        <v>2</v>
      </c>
      <c r="D6" t="s">
        <v>17</v>
      </c>
      <c r="E6" s="3">
        <v>200</v>
      </c>
      <c r="F6" s="11">
        <v>500</v>
      </c>
      <c r="G6" s="5" t="str" cm="1">
        <f t="array" ref="G6">ObterRegistro("Categorias","CategoriaId",C6)</f>
        <v>{"CategoriaId": {"Kind": "number", "Value": 2},"Nome": {"Kind": "string", "Value": "Livros"}}</v>
      </c>
    </row>
    <row r="7" spans="1:7" ht="28.8" x14ac:dyDescent="0.3">
      <c r="A7">
        <v>5</v>
      </c>
      <c r="B7">
        <v>2</v>
      </c>
      <c r="C7">
        <v>3</v>
      </c>
      <c r="D7" t="s">
        <v>18</v>
      </c>
      <c r="E7" s="3">
        <v>200</v>
      </c>
      <c r="F7" s="11">
        <v>10</v>
      </c>
      <c r="G7" s="5" t="str" cm="1">
        <f t="array" ref="G7">ObterRegistro("Categorias","CategoriaId",C7)</f>
        <v>{"CategoriaId": {"Kind": "number", "Value": 3},"Nome": {"Kind": "string", "Value": "Escritório"}}</v>
      </c>
    </row>
    <row r="8" spans="1:7" ht="28.8" x14ac:dyDescent="0.3">
      <c r="A8">
        <v>6</v>
      </c>
      <c r="B8" s="16">
        <v>2</v>
      </c>
      <c r="C8">
        <v>1</v>
      </c>
      <c r="D8" t="s">
        <v>16</v>
      </c>
      <c r="E8" s="3">
        <v>200</v>
      </c>
      <c r="F8" s="11">
        <v>50</v>
      </c>
      <c r="G8" s="5" t="str" cm="1">
        <f t="array" ref="G8">ObterRegistro("Categorias","CategoriaId",C8)</f>
        <v>{"CategoriaId": {"Kind": "number", "Value": 1},"Nome": {"Kind": "string", "Value": "Eletrônico"}}</v>
      </c>
    </row>
    <row r="9" spans="1:7" ht="28.8" x14ac:dyDescent="0.3">
      <c r="A9">
        <v>7</v>
      </c>
      <c r="B9">
        <v>3</v>
      </c>
      <c r="C9">
        <v>2</v>
      </c>
      <c r="D9" t="s">
        <v>17</v>
      </c>
      <c r="E9" s="3">
        <v>200</v>
      </c>
      <c r="F9" s="11">
        <v>35</v>
      </c>
      <c r="G9" s="5" t="str" cm="1">
        <f t="array" ref="G9">ObterRegistro("Categorias","CategoriaId",C9)</f>
        <v>{"CategoriaId": {"Kind": "number", "Value": 2},"Nome": {"Kind": "string", "Value": "Livros"}}</v>
      </c>
    </row>
    <row r="10" spans="1:7" ht="28.8" x14ac:dyDescent="0.3">
      <c r="A10">
        <v>8</v>
      </c>
      <c r="B10">
        <v>3</v>
      </c>
      <c r="C10">
        <v>3</v>
      </c>
      <c r="D10" t="s">
        <v>18</v>
      </c>
      <c r="E10" s="3">
        <v>200</v>
      </c>
      <c r="F10" s="11">
        <v>145</v>
      </c>
      <c r="G10" s="5" t="str" cm="1">
        <f t="array" ref="G10">ObterRegistro("Categorias","CategoriaId",C10)</f>
        <v>{"CategoriaId": {"Kind": "number", "Value": 3},"Nome": {"Kind": "string", "Value": "Escritório"}}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6676-BDD7-4AE3-8872-455C087A66C2}">
  <sheetPr codeName="Planilha4"/>
  <dimension ref="A1:B5"/>
  <sheetViews>
    <sheetView workbookViewId="0">
      <selection activeCell="C6" sqref="C6"/>
    </sheetView>
  </sheetViews>
  <sheetFormatPr defaultRowHeight="14.4" x14ac:dyDescent="0.3"/>
  <cols>
    <col min="1" max="1" width="10.6640625" bestFit="1" customWidth="1"/>
    <col min="2" max="2" width="9.109375" bestFit="1" customWidth="1"/>
  </cols>
  <sheetData>
    <row r="1" spans="1:2" s="1" customFormat="1" x14ac:dyDescent="0.3">
      <c r="A1" s="1" t="s">
        <v>15</v>
      </c>
      <c r="B1" s="1" t="s">
        <v>1</v>
      </c>
    </row>
    <row r="2" spans="1:2" s="1" customFormat="1" x14ac:dyDescent="0.3">
      <c r="A2" s="1" t="s">
        <v>32</v>
      </c>
      <c r="B2" s="1" t="s">
        <v>28</v>
      </c>
    </row>
    <row r="3" spans="1:2" x14ac:dyDescent="0.3">
      <c r="A3">
        <v>1</v>
      </c>
      <c r="B3" t="s">
        <v>19</v>
      </c>
    </row>
    <row r="4" spans="1:2" x14ac:dyDescent="0.3">
      <c r="A4">
        <v>2</v>
      </c>
      <c r="B4" t="s">
        <v>20</v>
      </c>
    </row>
    <row r="5" spans="1:2" x14ac:dyDescent="0.3">
      <c r="A5">
        <v>3</v>
      </c>
      <c r="B5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ROOT</vt:lpstr>
      <vt:lpstr>Clientes</vt:lpstr>
      <vt:lpstr>Produtos</vt:lpstr>
      <vt:lpstr>Categorias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2026-05-23T22:48:04Z</dcterms:created>
  <dcterms:modified xsi:type="dcterms:W3CDTF">2026-10-21T10:38:38Z</dcterms:modified>
</cp:coreProperties>
</file>