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8BB6A8ED-72F3-4CC8-A0EA-BDA51282165F}" xr6:coauthVersionLast="47" xr6:coauthVersionMax="47" xr10:uidLastSave="{00000000-0000-0000-0000-000000000000}"/>
  <bookViews>
    <workbookView xWindow="-108" yWindow="-108" windowWidth="23256" windowHeight="13176" activeTab="2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2" l="1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4" i="4"/>
  <c r="F4" i="4"/>
  <c r="E4" i="4"/>
  <c r="G3" i="4"/>
  <c r="F3" i="4"/>
  <c r="E3" i="4"/>
  <c r="E3" i="2"/>
  <c r="D3" i="2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</calcChain>
</file>

<file path=xl/sharedStrings.xml><?xml version="1.0" encoding="utf-8"?>
<sst xmlns="http://schemas.openxmlformats.org/spreadsheetml/2006/main" count="100" uniqueCount="39">
  <si>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</si>
  <si>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</si>
  <si>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</si>
  <si>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</si>
  <si>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</si>
  <si>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</si>
  <si>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</si>
  <si>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</si>
  <si>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</si>
  <si>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</si>
  <si>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</si>
  <si>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</si>
  <si>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</si>
  <si>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</si>
  <si>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</si>
  <si>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</si>
  <si>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</si>
  <si>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</si>
  <si>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</si>
  <si>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</si>
  <si>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</si>
  <si>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</si>
  <si>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</si>
  <si>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Categoria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</si>
  <si>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</si>
  <si>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</si>
  <si>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</si>
  <si>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</si>
  <si>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</si>
  <si>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</si>
  <si>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</si>
  <si>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</si>
  <si>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</si>
  <si>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object</t>
  </si>
  <si>
    <t>Produtos</t>
  </si>
  <si>
    <t>Tipos de dados</t>
  </si>
  <si>
    <t>image</t>
  </si>
  <si>
    <t>D:\C#\SGSI_CRUDEX\CRUDEX\StaticFiles\Assets\Images\evadin.png</t>
  </si>
  <si>
    <t>Logotipo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</si>
</sst>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3</xdr:col>
          <xdr:colOff>4419600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7"/>
  <sheetViews>
    <sheetView topLeftCell="B3" workbookViewId="0">
      <selection activeCell="E3" sqref="E3"/>
    </sheetView>
  </sheetViews>
  <sheetFormatPr defaultColWidth="8.88671875" defaultRowHeight="14.4" x14ac:dyDescent="0.3"/>
  <cols>
    <col min="1" max="1" width="10.109375" style="8" bestFit="1" customWidth="1"/>
    <col min="2" max="2" width="17.88671875" style="8" bestFit="1" customWidth="1"/>
    <col min="3" max="3" width="17.88671875" style="9" customWidth="1"/>
    <col min="4" max="4" width="81.5546875" style="9" bestFit="1" customWidth="1"/>
    <col min="5" max="5" width="41.6640625" style="9" bestFit="1" customWidth="1"/>
    <col min="6" max="6" width="45.109375" style="8" bestFit="1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38</v>
      </c>
      <c r="D1" s="7" t="s">
        <v>24</v>
      </c>
      <c r="E1" s="7" t="s">
        <v>26</v>
      </c>
      <c r="F1" s="6" t="s">
        <v>27</v>
      </c>
    </row>
    <row r="2" spans="1:6" s="6" customFormat="1" x14ac:dyDescent="0.3">
      <c r="A2" s="6" t="s">
        <v>28</v>
      </c>
      <c r="B2" s="6" t="s">
        <v>28</v>
      </c>
      <c r="C2" s="7" t="s">
        <v>36</v>
      </c>
      <c r="D2" s="7" t="s">
        <v>29</v>
      </c>
      <c r="E2" s="7" t="s">
        <v>31</v>
      </c>
      <c r="F2" s="6" t="s">
        <v>30</v>
      </c>
    </row>
    <row r="3" spans="1:6" ht="409.6" x14ac:dyDescent="0.3">
      <c r="A3" s="8" t="s">
        <v>3</v>
      </c>
      <c r="B3" s="8" t="s">
        <v>4</v>
      </c>
      <c r="C3" s="9" t="s">
        <v>37</v>
      </c>
      <c r="D3" s="5" t="str">
        <f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"Items": [{"ProdutoId": {"Kind": "number", "Value": 1},"ClienteId": {"Kind": "number", "Value": 1},"CategoriaId": {"Kind": "number", "Value": 1},"Nome": {"Kind": "number", "Value": "Produto A"},"Preço": {"Kind": "number", "Value": 100, "Text": "100,00"},"Quantidade": {"Kind": "number", "Value": 1235, "Text": "1.235"},"Categoria": {"Kind": "object", "Value": {"CategoriaId": {"Kind": "number", "Value": 1},"Nome": {"Kind": "string", "Value": "Eletrônico"}}}},{"ProdutoId": {"Kind": "number", "Value": 2},"ClienteId": {"Kind": "number", "Value": 1},"CategoriaId": {"Kind": "number", "Value": 1},"Nome": {"Kind": "number", "Value": "Produto B"},"Preço": {"Kind": "number", "Value": 50, "Text": "50,00"},"Quantidade": {"Kind": "number", "Value": 1, "Text": "1"},"Categoria": {"Kind": "object", "Value": {"CategoriaId": {"Kind": "number", "Value": 1},"Nome": {"Kind": "string", "Value": "Eletrônico"}}}},{"ProdutoId": {"Kind": "number", "Value": 4},"ClienteId": {"Kind": "number", "Value": 1},"CategoriaId": {"Kind": "number", "Value": 1},"Nome": {"Kind": "number", "Value": "Produto A"},"Preço": {"Kind": "number", "Value": 1100, "Text": "1.100,00"},"Quantidade": {"Kind": "number", "Value": 2, "Text": "2"},"Categoria": {"Kind": "object", "Value": {"CategoriaId": {"Kind": "number", "Value": 1},"Nome": {"Kind": "string", "Value": "Eletrônico"}}}},{"ProdutoId": {"Kind": "number", "Value": 5},"ClienteId":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7},"ClienteId":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8},"ClienteId":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10},"ClienteId":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11},"ClienteId":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13},"ClienteId":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14},"ClienteId":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16},"ClienteId":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17},"ClienteId":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19},"ClienteId":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20},"ClienteId":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22},"ClienteId":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23},"ClienteId":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25},"ClienteId":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26},"ClienteId":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28},"ClienteId":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29},"ClienteId":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31},"ClienteId":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32},"ClienteId":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34},"ClienteId":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35},"ClienteId":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"Livros"}}}}]},"TotaisProdutos": {"Kind": "totals", "Items": [{"PreçoSum": {"Kind": "string", "Value": "2.800,00"},"QuantidadeSum": {"Kind": "string", "Value": "1.269"}}]},"TotaisProdutosGrafico": {"Kind": "graph", "Items": [{"PreçoSum": {"Kind": "number", "Value": 2800},"PreçoSum_Label": {"Kind": "string", "Value": "Preço"},"QuantidadeSum": {"Kind": "number", "Value": 1269},"QuantidadeSum_Label": {"Kind": "string", "Value": "Quantidade"}}]}},{"ClienteId": {"Kind": "number", "Value": 2},"Nome": {"Kind": "string", "Value": "Maria Oliveira"},"Email": {"Kind": "string", "Value": "mariaoliveira@gmail.com"},"Telefone": {"Kind": "string", "Value": "(21) 91234-5678"},"Produtos": {"Kind": "collection", "Items": [{"ProdutoId": {"Kind": "number", "Value": 3},"ClienteId": {"Kind": "number", "Value": 2},"CategoriaId": {"Kind": "number", "Value": 1},"Nome": {"Kind": "number", "Value": "Produto C"},"Preço": {"Kind": "number", "Value": 200, "Text": "200,00"},"Quantidade": {"Kind": "number", "Value": 3, "Text": "3"},"Categoria": {"Kind": "object", "Value": {"CategoriaId": {"Kind": "number", "Value": 1},"Nome": {"Kind": "string", "Value": "Eletrônico"}}}},{"ProdutoId": {"Kind": "number", "Value": 6},"ClienteId": {"Kind": "number", "Value": 2},"CategoriaId": {"Kind": "number", "Value": 2},"Nome": {"Kind": "number", "Value": "Produto C"},"Preço": {"Kind": "number", "Value": 200, "Text": "200,00"},"Quantidade": {"Kind": "number", "Value": 3, "Text": "3"},"Categoria": {"Kind": "object", "Value": {"CategoriaId": {"Kind": "number", "Value": 2},"Nome": {"Kind": "string", "Value": "Livros"}}}},{"ProdutoId": {"Kind": "number", "Value": 9},"ClienteId":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12},"ClienteId":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15},"ClienteId":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18},"ClienteId":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21},"ClienteId":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24},"ClienteId":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27},"ClienteId":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30},"ClienteId":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33},"ClienteId":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36},"ClienteId":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"Escritório"}}}}]},"TotaisProdutos": {"Kind": "totals", "Items": [{"PreçoSum": {"Kind": "string", "Value": "2.400,00"},"QuantidadeSum": {"Kind": "string", "Value": "36"}}]},"TotaisProdutosGrafico": {"Kind": "graph", "Items": [{"PreçoSum": {"Kind": "number", "Value": 2400},"PreçoSum_Label": {"Kind": "string", "Value": "Preço"},"QuantidadeSum": {"Kind": "number", "Value": 36},"QuantidadeSum_Label": {"Kind": "string", "Value": "Quantidade"}}]}}]</v>
      </c>
      <c r="E3" s="9" t="str">
        <f>ObterRegistroTotal("Produtos", "", "Preço, Quantidade", "Sum")</f>
        <v>[{"PreçoSum": {"Kind": "string", "Value": "5.200,00"},"QuantidadeSum": {"Kind": "string", "Value": "1.305"}}]</v>
      </c>
      <c r="F3" s="9" t="str">
        <f>ObterGrafico("Produtos", "", "Preço, Quantidade", "Sum")</f>
        <v>[{"PreçoSum": {"Kind": "number", "Value": 5200},"PreçoSum_Label": {"Kind": "string", "Value": "Preço"},"QuantidadeSum": {"Kind": "number", "Value": 1305},"QuantidadeSum_Label": {"Kind": "string", "Value": "Quantidade"}}]</v>
      </c>
    </row>
    <row r="8" spans="1:6" ht="15" thickBot="1" x14ac:dyDescent="0.35"/>
    <row r="9" spans="1:6" ht="15" thickBot="1" x14ac:dyDescent="0.35">
      <c r="F9" s="15" t="s">
        <v>35</v>
      </c>
    </row>
    <row r="10" spans="1:6" x14ac:dyDescent="0.3">
      <c r="F10" s="13" t="s">
        <v>28</v>
      </c>
    </row>
    <row r="11" spans="1:6" x14ac:dyDescent="0.3">
      <c r="F11" s="13" t="s">
        <v>29</v>
      </c>
    </row>
    <row r="12" spans="1:6" x14ac:dyDescent="0.3">
      <c r="F12" s="13" t="s">
        <v>31</v>
      </c>
    </row>
    <row r="13" spans="1:6" x14ac:dyDescent="0.3">
      <c r="F13" s="13" t="s">
        <v>30</v>
      </c>
    </row>
    <row r="14" spans="1:6" x14ac:dyDescent="0.3">
      <c r="F14" s="13" t="s">
        <v>32</v>
      </c>
    </row>
    <row r="15" spans="1:6" x14ac:dyDescent="0.3">
      <c r="F15" s="13" t="s">
        <v>33</v>
      </c>
    </row>
    <row r="16" spans="1:6" ht="15" thickBot="1" x14ac:dyDescent="0.35">
      <c r="F16" s="14" t="s">
        <v>36</v>
      </c>
    </row>
    <row r="17" spans="1:1" ht="25.8" x14ac:dyDescent="0.3">
      <c r="A17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3</xdr:col>
                    <xdr:colOff>4419600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G4"/>
  <sheetViews>
    <sheetView topLeftCell="A3" workbookViewId="0">
      <selection activeCell="A3" sqref="A3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4.77734375" style="9" customWidth="1"/>
    <col min="6" max="6" width="37.33203125" style="9" customWidth="1"/>
    <col min="7" max="7" width="41.5546875" style="9" customWidth="1"/>
    <col min="8" max="16384" width="8.88671875" style="8"/>
  </cols>
  <sheetData>
    <row r="1" spans="1:7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34</v>
      </c>
      <c r="F1" s="7" t="s">
        <v>25</v>
      </c>
      <c r="G1" s="7" t="s">
        <v>27</v>
      </c>
    </row>
    <row r="2" spans="1:7" s="6" customFormat="1" x14ac:dyDescent="0.3">
      <c r="A2" s="6" t="s">
        <v>32</v>
      </c>
      <c r="B2" s="6" t="s">
        <v>28</v>
      </c>
      <c r="C2" s="6" t="s">
        <v>28</v>
      </c>
      <c r="D2" s="6" t="s">
        <v>28</v>
      </c>
      <c r="E2" s="7" t="s">
        <v>29</v>
      </c>
      <c r="F2" s="7" t="s">
        <v>31</v>
      </c>
      <c r="G2" s="7" t="s">
        <v>30</v>
      </c>
    </row>
    <row r="3" spans="1:7" ht="409.6" x14ac:dyDescent="0.3">
      <c r="A3" s="8">
        <v>1</v>
      </c>
      <c r="B3" s="8" t="s">
        <v>7</v>
      </c>
      <c r="C3" s="8" t="s">
        <v>9</v>
      </c>
      <c r="D3" s="8" t="s">
        <v>11</v>
      </c>
      <c r="E3" s="9" t="str">
        <f>ObterRegistros("Produtos", "ClienteId", A3)</f>
        <v>[{"ProdutoId": {"Kind": "number", "Value": 1},"ClienteId": {"Kind": "number", "Value": 1},"CategoriaId": {"Kind": "number", "Value": 1},"Nome": {"Kind": "number", "Value": "Produto A"},"Preço": {"Kind": "number", "Value": 100, "Text": "100,00"},"Quantidade": {"Kind": "number", "Value": 1235, "Text": "1.235"},"Categoria": {"Kind": "object", "Value": {"CategoriaId": {"Kind": "number", "Value": 1},"Nome": {"Kind": "string", "Value": "Eletrônico"}}}},{"ProdutoId": {"Kind": "number", "Value": 2},"ClienteId": {"Kind": "number", "Value": 1},"CategoriaId": {"Kind": "number", "Value": 1},"Nome": {"Kind": "number", "Value": "Produto B"},"Preço": {"Kind": "number", "Value": 50, "Text": "50,00"},"Quantidade": {"Kind": "number", "Value": 1, "Text": "1"},"Categoria": {"Kind": "object", "Value": {"CategoriaId": {"Kind": "number", "Value": 1},"Nome": {"Kind": "string", "Value": "Eletrônico"}}}},{"ProdutoId": {"Kind": "number", "Value": 4},"ClienteId": {"Kind": "number", "Value": 1},"CategoriaId": {"Kind": "number", "Value": 1},"Nome": {"Kind": "number", "Value": "Produto A"},"Preço": {"Kind": "number", "Value": 1100, "Text": "1.100,00"},"Quantidade": {"Kind": "number", "Value": 2, "Text": "2"},"Categoria": {"Kind": "object", "Value": {"CategoriaId": {"Kind": "number", "Value": 1},"Nome": {"Kind": "string", "Value": "Eletrônico"}}}},{"ProdutoId": {"Kind": "number", "Value": 5},"ClienteId":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7},"ClienteId":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8},"ClienteId":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10},"ClienteId":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11},"ClienteId":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13},"ClienteId":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14},"ClienteId":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16},"ClienteId":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17},"ClienteId":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19},"ClienteId":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20},"ClienteId":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22},"ClienteId":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23},"ClienteId":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25},"ClienteId":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26},"ClienteId":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28},"ClienteId":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29},"ClienteId":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31},"ClienteId":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32},"ClienteId":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34},"ClienteId": {"Kind": "number", "Value": 1},"CategoriaId": {"Kind": "number", "Value": 1},"Nome": {"Kind": "number",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35},"ClienteId": {"Kind": "number", "Value": 1},"CategoriaId": {"Kind": "number", "Value": 2},"Nome": {"Kind": "number", "Value": "Produto B"},"Preço": {"Kind": "number", "Value": 50, "Text": "50,00"},"Quantidade": {"Kind": "number", "Value": 1, "Text": "1"},"Categoria": {"Kind": "object", "Value": {"CategoriaId": {"Kind": "number", "Value": 2},"Nome": {"Kind": "string", "Value": "Livros"}}}}]</v>
      </c>
      <c r="F3" s="9" t="str">
        <f>ObterRegistroTotal("Produtos", "", "Preço, Quantidade", "Sum", "ClienteId", A3)</f>
        <v>[{"PreçoSum": {"Kind": "string", "Value": "2.800,00"},"QuantidadeSum": {"Kind": "string", "Value": "1.269"}}]</v>
      </c>
      <c r="G3" s="9" t="str">
        <f>ObterGrafico("Produtos", "", "Preço, Quantidade", "Sum", "ClienteId", A3)</f>
        <v>[{"PreçoSum": {"Kind": "number", "Value": 2800},"PreçoSum_Label": {"Kind": "string", "Value": "Preço"},"QuantidadeSum": {"Kind": "number", "Value": 1269},"QuantidadeSum_Label": {"Kind": "string", "Value": "Quantidade"}}]</v>
      </c>
    </row>
    <row r="4" spans="1:7" ht="409.6" x14ac:dyDescent="0.3">
      <c r="A4" s="8">
        <v>2</v>
      </c>
      <c r="B4" s="8" t="s">
        <v>8</v>
      </c>
      <c r="C4" s="8" t="s">
        <v>10</v>
      </c>
      <c r="D4" s="8" t="s">
        <v>12</v>
      </c>
      <c r="E4" s="9" t="str">
        <f>ObterRegistros("Produtos", "ClienteId", A4)</f>
        <v>[{"ProdutoId": {"Kind": "number", "Value": 3},"ClienteId": {"Kind": "number", "Value": 2},"CategoriaId": {"Kind": "number", "Value": 1},"Nome": {"Kind": "number", "Value": "Produto C"},"Preço": {"Kind": "number", "Value": 200, "Text": "200,00"},"Quantidade": {"Kind": "number", "Value": 3, "Text": "3"},"Categoria": {"Kind": "object", "Value": {"CategoriaId": {"Kind": "number", "Value": 1},"Nome": {"Kind": "string", "Value": "Eletrônico"}}}},{"ProdutoId": {"Kind": "number", "Value": 6},"ClienteId": {"Kind": "number", "Value": 2},"CategoriaId": {"Kind": "number", "Value": 2},"Nome": {"Kind": "number", "Value": "Produto C"},"Preço": {"Kind": "number", "Value": 200, "Text": "200,00"},"Quantidade": {"Kind": "number", "Value": 3, "Text": "3"},"Categoria": {"Kind": "object", "Value": {"CategoriaId": {"Kind": "number", "Value": 2},"Nome": {"Kind": "string", "Value": "Livros"}}}},{"ProdutoId": {"Kind": "number", "Value": 9},"ClienteId":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12},"ClienteId":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15},"ClienteId":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18},"ClienteId":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21},"ClienteId":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24},"ClienteId":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27},"ClienteId":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30},"ClienteId":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33},"ClienteId":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36},"ClienteId": {"Kind": "number", "Value": 2},"CategoriaId": {"Kind": "number", "Value": 3},"Nome": {"Kind": "number",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"Escritório"}}}}]</v>
      </c>
      <c r="F4" s="9" t="str">
        <f>ObterRegistroTotal("Produtos", "", "Preço, Quantidade", "Sum", "ClienteId", A4)</f>
        <v>[{"PreçoSum": {"Kind": "string", "Value": "2.400,00"},"QuantidadeSum": {"Kind": "string", "Value": "36"}}]</v>
      </c>
      <c r="G4" s="9" t="str">
        <f>ObterGrafico("Produtos", "", "Preço, Quantidade", "Sum", "ClienteId", A4)</f>
        <v>[{"PreçoSum": {"Kind": "number", "Value": 2400},"PreçoSum_Label": {"Kind": "string", "Value": "Preço"},"QuantidadeSum": {"Kind": "number", "Value": 36},"QuantidadeSum_Label":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XFD38"/>
  <sheetViews>
    <sheetView tabSelected="1" workbookViewId="0">
      <selection activeCell="D3" sqref="D3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8.109375" style="3" bestFit="1" customWidth="1"/>
    <col min="6" max="6" width="10.6640625" style="11" bestFit="1" customWidth="1"/>
    <col min="7" max="7" width="54.44140625" style="5" bestFit="1" customWidth="1"/>
    <col min="16384" max="16384" width="9.21875" customWidth="1"/>
  </cols>
  <sheetData>
    <row r="1" spans="1:7 16384:16384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23</v>
      </c>
      <c r="XFD1"/>
    </row>
    <row r="2" spans="1:7 16384:16384" s="1" customFormat="1" x14ac:dyDescent="0.3">
      <c r="A2" s="1" t="s">
        <v>32</v>
      </c>
      <c r="B2" s="1" t="s">
        <v>32</v>
      </c>
      <c r="C2" s="1" t="s">
        <v>32</v>
      </c>
      <c r="D2" s="1" t="s">
        <v>28</v>
      </c>
      <c r="E2" s="1" t="s">
        <v>32</v>
      </c>
      <c r="F2" s="1" t="s">
        <v>32</v>
      </c>
      <c r="G2" s="4" t="s">
        <v>33</v>
      </c>
    </row>
    <row r="3" spans="1:7 16384:16384" ht="28.8" x14ac:dyDescent="0.3">
      <c r="A3">
        <f>ROW(A3)-2</f>
        <v>1</v>
      </c>
      <c r="B3">
        <v>1</v>
      </c>
      <c r="C3">
        <v>1</v>
      </c>
      <c r="D3" t="s">
        <v>16</v>
      </c>
      <c r="E3" s="3">
        <v>100</v>
      </c>
      <c r="F3" s="11">
        <v>1235</v>
      </c>
      <c r="G3" s="5" t="str">
        <f>ObterRegistro("Categorias","CategoriaId",C3)</f>
        <v>{"CategoriaId": {"Kind": "number", "Value": 1},"Nome": {"Kind": "string", "Value": "Eletrônico"}}</v>
      </c>
    </row>
    <row r="4" spans="1:7 16384:16384" x14ac:dyDescent="0.3">
      <c r="A4">
        <f t="shared" ref="A4:A38" si="0">ROW(A4)-2</f>
        <v>2</v>
      </c>
      <c r="B4">
        <v>1</v>
      </c>
      <c r="C4">
        <v>1</v>
      </c>
      <c r="D4" t="s">
        <v>17</v>
      </c>
      <c r="E4" s="3">
        <v>50</v>
      </c>
      <c r="F4" s="11">
        <v>1</v>
      </c>
      <c r="G4" s="5" t="str">
        <f>ObterRegistro("Categorias","CategoriaId",C4)</f>
        <v>{"CategoriaId": {"Kind": "number", "Value": 1},"Nome": {"Kind": "string", "Value": "Eletrônico"}}</v>
      </c>
    </row>
    <row r="5" spans="1:7 16384:16384" ht="28.8" x14ac:dyDescent="0.3">
      <c r="A5">
        <f t="shared" si="0"/>
        <v>3</v>
      </c>
      <c r="B5">
        <v>2</v>
      </c>
      <c r="C5">
        <v>1</v>
      </c>
      <c r="D5" t="s">
        <v>18</v>
      </c>
      <c r="E5" s="3">
        <v>200</v>
      </c>
      <c r="F5" s="11">
        <v>3</v>
      </c>
      <c r="G5" s="5" t="str">
        <f>ObterRegistro("Categorias","CategoriaId",C5)</f>
        <v>{"CategoriaId": {"Kind": "number", "Value": 1},"Nome": {"Kind": "string", "Value": "Eletrônico"}}</v>
      </c>
    </row>
    <row r="6" spans="1:7 16384:16384" ht="28.8" x14ac:dyDescent="0.3">
      <c r="A6">
        <f t="shared" si="0"/>
        <v>4</v>
      </c>
      <c r="B6">
        <v>1</v>
      </c>
      <c r="C6">
        <v>1</v>
      </c>
      <c r="D6" t="s">
        <v>16</v>
      </c>
      <c r="E6" s="3">
        <v>1100</v>
      </c>
      <c r="F6" s="11">
        <v>2</v>
      </c>
      <c r="G6" s="5" t="str">
        <f>ObterRegistro("Categorias","CategoriaId",C6)</f>
        <v>{"CategoriaId": {"Kind": "number", "Value": 1},"Nome": {"Kind": "string", "Value": "Eletrônico"}}</v>
      </c>
    </row>
    <row r="7" spans="1:7 16384:16384" x14ac:dyDescent="0.3">
      <c r="A7">
        <f t="shared" si="0"/>
        <v>5</v>
      </c>
      <c r="B7">
        <v>1</v>
      </c>
      <c r="C7">
        <v>2</v>
      </c>
      <c r="D7" t="s">
        <v>17</v>
      </c>
      <c r="E7" s="3">
        <v>50</v>
      </c>
      <c r="F7" s="11">
        <v>1</v>
      </c>
      <c r="G7" s="5" t="str">
        <f>ObterRegistro("Categorias","CategoriaId",C7)</f>
        <v>{"CategoriaId": {"Kind": "number", "Value": 2},"Nome": {"Kind": "string", "Value": "Livros"}}</v>
      </c>
    </row>
    <row r="8" spans="1:7 16384:16384" ht="28.8" x14ac:dyDescent="0.3">
      <c r="A8">
        <f t="shared" si="0"/>
        <v>6</v>
      </c>
      <c r="B8">
        <v>2</v>
      </c>
      <c r="C8">
        <v>2</v>
      </c>
      <c r="D8" t="s">
        <v>18</v>
      </c>
      <c r="E8" s="3">
        <v>200</v>
      </c>
      <c r="F8" s="11">
        <v>3</v>
      </c>
      <c r="G8" s="5" t="str">
        <f>ObterRegistro("Categorias","CategoriaId",C8)</f>
        <v>{"CategoriaId": {"Kind": "number", "Value": 2},"Nome": {"Kind": "string", "Value": "Livros"}}</v>
      </c>
    </row>
    <row r="9" spans="1:7 16384:16384" ht="28.8" x14ac:dyDescent="0.3">
      <c r="A9">
        <f>ROW(A9)-2</f>
        <v>7</v>
      </c>
      <c r="B9">
        <v>1</v>
      </c>
      <c r="C9">
        <v>1</v>
      </c>
      <c r="D9" t="s">
        <v>16</v>
      </c>
      <c r="E9" s="3">
        <v>100</v>
      </c>
      <c r="F9" s="11">
        <v>2</v>
      </c>
      <c r="G9" s="5" t="str">
        <f>ObterRegistro("Categorias","CategoriaId",C9)</f>
        <v>{"CategoriaId": {"Kind": "number", "Value": 1},"Nome": {"Kind": "string", "Value": "Eletrônico"}}</v>
      </c>
    </row>
    <row r="10" spans="1:7 16384:16384" x14ac:dyDescent="0.3">
      <c r="A10">
        <f t="shared" si="0"/>
        <v>8</v>
      </c>
      <c r="B10">
        <v>1</v>
      </c>
      <c r="C10">
        <v>2</v>
      </c>
      <c r="D10" t="s">
        <v>17</v>
      </c>
      <c r="E10" s="3">
        <v>50</v>
      </c>
      <c r="F10" s="11">
        <v>1</v>
      </c>
      <c r="G10" s="5" t="str">
        <f>ObterRegistro("Categorias","CategoriaId",C10)</f>
        <v>{"CategoriaId": {"Kind": "number", "Value": 2},"Nome": {"Kind": "string", "Value": "Livros"}}</v>
      </c>
    </row>
    <row r="11" spans="1:7 16384:16384" ht="28.8" x14ac:dyDescent="0.3">
      <c r="A11">
        <f t="shared" si="0"/>
        <v>9</v>
      </c>
      <c r="B11">
        <v>2</v>
      </c>
      <c r="C11">
        <v>3</v>
      </c>
      <c r="D11" t="s">
        <v>18</v>
      </c>
      <c r="E11" s="3">
        <v>200</v>
      </c>
      <c r="F11" s="11">
        <v>3</v>
      </c>
      <c r="G11" s="5" t="str">
        <f>ObterRegistro("Categorias","CategoriaId",C11)</f>
        <v>{"CategoriaId": {"Kind": "number", "Value": 3},"Nome": {"Kind": "string", "Value": "Escritório"}}</v>
      </c>
    </row>
    <row r="12" spans="1:7 16384:16384" ht="28.8" x14ac:dyDescent="0.3">
      <c r="A12">
        <f t="shared" si="0"/>
        <v>10</v>
      </c>
      <c r="B12">
        <v>1</v>
      </c>
      <c r="C12">
        <v>1</v>
      </c>
      <c r="D12" t="s">
        <v>16</v>
      </c>
      <c r="E12" s="3">
        <v>100</v>
      </c>
      <c r="F12" s="11">
        <v>2</v>
      </c>
      <c r="G12" s="5" t="str">
        <f>ObterRegistro("Categorias","CategoriaId",C12)</f>
        <v>{"CategoriaId": {"Kind": "number", "Value": 1},"Nome": {"Kind": "string", "Value": "Eletrônico"}}</v>
      </c>
    </row>
    <row r="13" spans="1:7 16384:16384" x14ac:dyDescent="0.3">
      <c r="A13">
        <f t="shared" si="0"/>
        <v>11</v>
      </c>
      <c r="B13">
        <v>1</v>
      </c>
      <c r="C13">
        <v>2</v>
      </c>
      <c r="D13" t="s">
        <v>17</v>
      </c>
      <c r="E13" s="3">
        <v>50</v>
      </c>
      <c r="F13" s="11">
        <v>1</v>
      </c>
      <c r="G13" s="5" t="str">
        <f>ObterRegistro("Categorias","CategoriaId",C13)</f>
        <v>{"CategoriaId": {"Kind": "number", "Value": 2},"Nome": {"Kind": "string", "Value": "Livros"}}</v>
      </c>
    </row>
    <row r="14" spans="1:7 16384:16384" ht="28.8" x14ac:dyDescent="0.3">
      <c r="A14">
        <f t="shared" si="0"/>
        <v>12</v>
      </c>
      <c r="B14">
        <v>2</v>
      </c>
      <c r="C14">
        <v>3</v>
      </c>
      <c r="D14" t="s">
        <v>18</v>
      </c>
      <c r="E14" s="3">
        <v>200</v>
      </c>
      <c r="F14" s="11">
        <v>3</v>
      </c>
      <c r="G14" s="5" t="str">
        <f>ObterRegistro("Categorias","CategoriaId",C14)</f>
        <v>{"CategoriaId": {"Kind": "number", "Value": 3},"Nome": {"Kind": "string", "Value": "Escritório"}}</v>
      </c>
    </row>
    <row r="15" spans="1:7 16384:16384" ht="28.8" x14ac:dyDescent="0.3">
      <c r="A15">
        <f>ROW(A15)-2</f>
        <v>13</v>
      </c>
      <c r="B15">
        <v>1</v>
      </c>
      <c r="C15">
        <v>1</v>
      </c>
      <c r="D15" t="s">
        <v>16</v>
      </c>
      <c r="E15" s="3">
        <v>100</v>
      </c>
      <c r="F15" s="11">
        <v>2</v>
      </c>
      <c r="G15" s="5" t="str">
        <f>ObterRegistro("Categorias","CategoriaId",C15)</f>
        <v>{"CategoriaId": {"Kind": "number", "Value": 1},"Nome": {"Kind": "string", "Value": "Eletrônico"}}</v>
      </c>
    </row>
    <row r="16" spans="1:7 16384:16384" x14ac:dyDescent="0.3">
      <c r="A16">
        <f t="shared" si="0"/>
        <v>14</v>
      </c>
      <c r="B16">
        <v>1</v>
      </c>
      <c r="C16">
        <v>2</v>
      </c>
      <c r="D16" t="s">
        <v>17</v>
      </c>
      <c r="E16" s="3">
        <v>50</v>
      </c>
      <c r="F16" s="11">
        <v>1</v>
      </c>
      <c r="G16" s="5" t="str">
        <f>ObterRegistro("Categorias","CategoriaId",C16)</f>
        <v>{"CategoriaId": {"Kind": "number", "Value": 2},"Nome": {"Kind": "string", "Value": "Livros"}}</v>
      </c>
    </row>
    <row r="17" spans="1:7" ht="28.8" x14ac:dyDescent="0.3">
      <c r="A17">
        <f t="shared" si="0"/>
        <v>15</v>
      </c>
      <c r="B17">
        <v>2</v>
      </c>
      <c r="C17">
        <v>3</v>
      </c>
      <c r="D17" t="s">
        <v>18</v>
      </c>
      <c r="E17" s="3">
        <v>200</v>
      </c>
      <c r="F17" s="11">
        <v>3</v>
      </c>
      <c r="G17" s="5" t="str">
        <f t="shared" ref="G17:G38" si="1">ObterRegistro("Categorias","CategoriaId",C17)</f>
        <v>{"CategoriaId": {"Kind": "number", "Value": 3},"Nome": {"Kind": "string", "Value": "Escritório"}}</v>
      </c>
    </row>
    <row r="18" spans="1:7" ht="28.8" x14ac:dyDescent="0.3">
      <c r="A18">
        <f t="shared" si="0"/>
        <v>16</v>
      </c>
      <c r="B18">
        <v>1</v>
      </c>
      <c r="C18">
        <v>1</v>
      </c>
      <c r="D18" t="s">
        <v>16</v>
      </c>
      <c r="E18" s="3">
        <v>100</v>
      </c>
      <c r="F18" s="11">
        <v>2</v>
      </c>
      <c r="G18" s="5" t="str">
        <f t="shared" si="1"/>
        <v>{"CategoriaId": {"Kind": "number", "Value": 1},"Nome": {"Kind": "string", "Value": "Eletrônico"}}</v>
      </c>
    </row>
    <row r="19" spans="1:7" x14ac:dyDescent="0.3">
      <c r="A19">
        <f t="shared" si="0"/>
        <v>17</v>
      </c>
      <c r="B19">
        <v>1</v>
      </c>
      <c r="C19">
        <v>2</v>
      </c>
      <c r="D19" t="s">
        <v>17</v>
      </c>
      <c r="E19" s="3">
        <v>50</v>
      </c>
      <c r="F19" s="11">
        <v>1</v>
      </c>
      <c r="G19" s="5" t="str">
        <f t="shared" si="1"/>
        <v>{"CategoriaId": {"Kind": "number", "Value": 2},"Nome": {"Kind": "string", "Value": "Livros"}}</v>
      </c>
    </row>
    <row r="20" spans="1:7" ht="28.8" x14ac:dyDescent="0.3">
      <c r="A20">
        <f t="shared" si="0"/>
        <v>18</v>
      </c>
      <c r="B20">
        <v>2</v>
      </c>
      <c r="C20">
        <v>3</v>
      </c>
      <c r="D20" t="s">
        <v>18</v>
      </c>
      <c r="E20" s="3">
        <v>200</v>
      </c>
      <c r="F20" s="11">
        <v>3</v>
      </c>
      <c r="G20" s="5" t="str">
        <f t="shared" si="1"/>
        <v>{"CategoriaId": {"Kind": "number", "Value": 3},"Nome": {"Kind": "string", "Value": "Escritório"}}</v>
      </c>
    </row>
    <row r="21" spans="1:7" ht="28.8" x14ac:dyDescent="0.3">
      <c r="A21">
        <f>ROW(A21)-2</f>
        <v>19</v>
      </c>
      <c r="B21">
        <v>1</v>
      </c>
      <c r="C21">
        <v>1</v>
      </c>
      <c r="D21" t="s">
        <v>16</v>
      </c>
      <c r="E21" s="3">
        <v>100</v>
      </c>
      <c r="F21" s="11">
        <v>2</v>
      </c>
      <c r="G21" s="5" t="str">
        <f t="shared" si="1"/>
        <v>{"CategoriaId": {"Kind": "number", "Value": 1},"Nome": {"Kind": "string", "Value": "Eletrônico"}}</v>
      </c>
    </row>
    <row r="22" spans="1:7" ht="28.8" x14ac:dyDescent="0.3">
      <c r="A22">
        <f t="shared" si="0"/>
        <v>20</v>
      </c>
      <c r="B22">
        <v>1</v>
      </c>
      <c r="C22">
        <v>2</v>
      </c>
      <c r="D22" t="s">
        <v>17</v>
      </c>
      <c r="E22" s="3">
        <v>50</v>
      </c>
      <c r="F22" s="11">
        <v>1</v>
      </c>
      <c r="G22" s="5" t="str">
        <f t="shared" si="1"/>
        <v>{"CategoriaId": {"Kind": "number", "Value": 2},"Nome": {"Kind": "string", "Value": "Livros"}}</v>
      </c>
    </row>
    <row r="23" spans="1:7" ht="28.8" x14ac:dyDescent="0.3">
      <c r="A23">
        <f t="shared" si="0"/>
        <v>21</v>
      </c>
      <c r="B23">
        <v>2</v>
      </c>
      <c r="C23">
        <v>3</v>
      </c>
      <c r="D23" t="s">
        <v>18</v>
      </c>
      <c r="E23" s="3">
        <v>200</v>
      </c>
      <c r="F23" s="11">
        <v>3</v>
      </c>
      <c r="G23" s="5" t="str">
        <f t="shared" si="1"/>
        <v>{"CategoriaId": {"Kind": "number", "Value": 3},"Nome": {"Kind": "string", "Value": "Escritório"}}</v>
      </c>
    </row>
    <row r="24" spans="1:7" ht="28.8" x14ac:dyDescent="0.3">
      <c r="A24">
        <f t="shared" si="0"/>
        <v>22</v>
      </c>
      <c r="B24">
        <v>1</v>
      </c>
      <c r="C24">
        <v>1</v>
      </c>
      <c r="D24" t="s">
        <v>16</v>
      </c>
      <c r="E24" s="3">
        <v>100</v>
      </c>
      <c r="F24" s="11">
        <v>2</v>
      </c>
      <c r="G24" s="5" t="str">
        <f t="shared" si="1"/>
        <v>{"CategoriaId": {"Kind": "number", "Value": 1},"Nome": {"Kind": "string", "Value": "Eletrônico"}}</v>
      </c>
    </row>
    <row r="25" spans="1:7" ht="28.8" x14ac:dyDescent="0.3">
      <c r="A25">
        <f t="shared" si="0"/>
        <v>23</v>
      </c>
      <c r="B25">
        <v>1</v>
      </c>
      <c r="C25">
        <v>2</v>
      </c>
      <c r="D25" t="s">
        <v>17</v>
      </c>
      <c r="E25" s="3">
        <v>50</v>
      </c>
      <c r="F25" s="11">
        <v>1</v>
      </c>
      <c r="G25" s="5" t="str">
        <f t="shared" si="1"/>
        <v>{"CategoriaId": {"Kind": "number", "Value": 2},"Nome": {"Kind": "string", "Value": "Livros"}}</v>
      </c>
    </row>
    <row r="26" spans="1:7" ht="28.8" x14ac:dyDescent="0.3">
      <c r="A26">
        <f t="shared" si="0"/>
        <v>24</v>
      </c>
      <c r="B26">
        <v>2</v>
      </c>
      <c r="C26">
        <v>3</v>
      </c>
      <c r="D26" t="s">
        <v>18</v>
      </c>
      <c r="E26" s="3">
        <v>200</v>
      </c>
      <c r="F26" s="11">
        <v>3</v>
      </c>
      <c r="G26" s="5" t="str">
        <f t="shared" si="1"/>
        <v>{"CategoriaId": {"Kind": "number", "Value": 3},"Nome": {"Kind": "string", "Value": "Escritório"}}</v>
      </c>
    </row>
    <row r="27" spans="1:7" ht="28.8" x14ac:dyDescent="0.3">
      <c r="A27">
        <f>ROW(A27)-2</f>
        <v>25</v>
      </c>
      <c r="B27">
        <v>1</v>
      </c>
      <c r="C27">
        <v>1</v>
      </c>
      <c r="D27" t="s">
        <v>16</v>
      </c>
      <c r="E27" s="3">
        <v>100</v>
      </c>
      <c r="F27" s="11">
        <v>2</v>
      </c>
      <c r="G27" s="5" t="str">
        <f t="shared" si="1"/>
        <v>{"CategoriaId": {"Kind": "number", "Value": 1},"Nome": {"Kind": "string", "Value": "Eletrônico"}}</v>
      </c>
    </row>
    <row r="28" spans="1:7" ht="28.8" x14ac:dyDescent="0.3">
      <c r="A28">
        <f t="shared" si="0"/>
        <v>26</v>
      </c>
      <c r="B28">
        <v>1</v>
      </c>
      <c r="C28">
        <v>2</v>
      </c>
      <c r="D28" t="s">
        <v>17</v>
      </c>
      <c r="E28" s="3">
        <v>50</v>
      </c>
      <c r="F28" s="11">
        <v>1</v>
      </c>
      <c r="G28" s="5" t="str">
        <f t="shared" si="1"/>
        <v>{"CategoriaId": {"Kind": "number", "Value": 2},"Nome": {"Kind": "string", "Value": "Livros"}}</v>
      </c>
    </row>
    <row r="29" spans="1:7" ht="28.8" x14ac:dyDescent="0.3">
      <c r="A29">
        <f t="shared" si="0"/>
        <v>27</v>
      </c>
      <c r="B29">
        <v>2</v>
      </c>
      <c r="C29">
        <v>3</v>
      </c>
      <c r="D29" t="s">
        <v>18</v>
      </c>
      <c r="E29" s="3">
        <v>200</v>
      </c>
      <c r="F29" s="11">
        <v>3</v>
      </c>
      <c r="G29" s="5" t="str">
        <f t="shared" si="1"/>
        <v>{"CategoriaId": {"Kind": "number", "Value": 3},"Nome": {"Kind": "string", "Value": "Escritório"}}</v>
      </c>
    </row>
    <row r="30" spans="1:7" ht="28.8" x14ac:dyDescent="0.3">
      <c r="A30">
        <f t="shared" si="0"/>
        <v>28</v>
      </c>
      <c r="B30">
        <v>1</v>
      </c>
      <c r="C30">
        <v>1</v>
      </c>
      <c r="D30" t="s">
        <v>16</v>
      </c>
      <c r="E30" s="3">
        <v>100</v>
      </c>
      <c r="F30" s="11">
        <v>2</v>
      </c>
      <c r="G30" s="5" t="str">
        <f t="shared" si="1"/>
        <v>{"CategoriaId": {"Kind": "number", "Value": 1},"Nome": {"Kind": "string", "Value": "Eletrônico"}}</v>
      </c>
    </row>
    <row r="31" spans="1:7" ht="28.8" x14ac:dyDescent="0.3">
      <c r="A31">
        <f t="shared" si="0"/>
        <v>29</v>
      </c>
      <c r="B31">
        <v>1</v>
      </c>
      <c r="C31">
        <v>2</v>
      </c>
      <c r="D31" t="s">
        <v>17</v>
      </c>
      <c r="E31" s="3">
        <v>50</v>
      </c>
      <c r="F31" s="11">
        <v>1</v>
      </c>
      <c r="G31" s="5" t="str">
        <f t="shared" si="1"/>
        <v>{"CategoriaId": {"Kind": "number", "Value": 2},"Nome": {"Kind": "string", "Value": "Livros"}}</v>
      </c>
    </row>
    <row r="32" spans="1:7" ht="28.8" x14ac:dyDescent="0.3">
      <c r="A32">
        <f t="shared" si="0"/>
        <v>30</v>
      </c>
      <c r="B32">
        <v>2</v>
      </c>
      <c r="C32">
        <v>3</v>
      </c>
      <c r="D32" t="s">
        <v>18</v>
      </c>
      <c r="E32" s="3">
        <v>200</v>
      </c>
      <c r="F32" s="11">
        <v>3</v>
      </c>
      <c r="G32" s="5" t="str">
        <f t="shared" si="1"/>
        <v>{"CategoriaId": {"Kind": "number", "Value": 3},"Nome": {"Kind": "string", "Value": "Escritório"}}</v>
      </c>
    </row>
    <row r="33" spans="1:7" ht="28.8" x14ac:dyDescent="0.3">
      <c r="A33">
        <f>ROW(A33)-2</f>
        <v>31</v>
      </c>
      <c r="B33">
        <v>1</v>
      </c>
      <c r="C33">
        <v>1</v>
      </c>
      <c r="D33" t="s">
        <v>16</v>
      </c>
      <c r="E33" s="3">
        <v>100</v>
      </c>
      <c r="F33" s="11">
        <v>2</v>
      </c>
      <c r="G33" s="5" t="str">
        <f t="shared" si="1"/>
        <v>{"CategoriaId": {"Kind": "number", "Value": 1},"Nome": {"Kind": "string", "Value": "Eletrônico"}}</v>
      </c>
    </row>
    <row r="34" spans="1:7" ht="28.8" x14ac:dyDescent="0.3">
      <c r="A34">
        <f t="shared" si="0"/>
        <v>32</v>
      </c>
      <c r="B34">
        <v>1</v>
      </c>
      <c r="C34">
        <v>2</v>
      </c>
      <c r="D34" t="s">
        <v>17</v>
      </c>
      <c r="E34" s="3">
        <v>50</v>
      </c>
      <c r="F34" s="11">
        <v>1</v>
      </c>
      <c r="G34" s="5" t="str">
        <f t="shared" si="1"/>
        <v>{"CategoriaId": {"Kind": "number", "Value": 2},"Nome": {"Kind": "string", "Value": "Livros"}}</v>
      </c>
    </row>
    <row r="35" spans="1:7" ht="28.8" x14ac:dyDescent="0.3">
      <c r="A35">
        <f t="shared" si="0"/>
        <v>33</v>
      </c>
      <c r="B35">
        <v>2</v>
      </c>
      <c r="C35">
        <v>3</v>
      </c>
      <c r="D35" t="s">
        <v>18</v>
      </c>
      <c r="E35" s="3">
        <v>200</v>
      </c>
      <c r="F35" s="11">
        <v>3</v>
      </c>
      <c r="G35" s="5" t="str">
        <f t="shared" si="1"/>
        <v>{"CategoriaId": {"Kind": "number", "Value": 3},"Nome": {"Kind": "string", "Value": "Escritório"}}</v>
      </c>
    </row>
    <row r="36" spans="1:7" ht="28.8" x14ac:dyDescent="0.3">
      <c r="A36">
        <f t="shared" si="0"/>
        <v>34</v>
      </c>
      <c r="B36">
        <v>1</v>
      </c>
      <c r="C36">
        <v>1</v>
      </c>
      <c r="D36" t="s">
        <v>16</v>
      </c>
      <c r="E36" s="3">
        <v>100</v>
      </c>
      <c r="F36" s="11">
        <v>2</v>
      </c>
      <c r="G36" s="5" t="str">
        <f t="shared" si="1"/>
        <v>{"CategoriaId": {"Kind": "number", "Value": 1},"Nome": {"Kind": "string", "Value": "Eletrônico"}}</v>
      </c>
    </row>
    <row r="37" spans="1:7" ht="28.8" x14ac:dyDescent="0.3">
      <c r="A37">
        <f t="shared" si="0"/>
        <v>35</v>
      </c>
      <c r="B37">
        <v>1</v>
      </c>
      <c r="C37">
        <v>2</v>
      </c>
      <c r="D37" t="s">
        <v>17</v>
      </c>
      <c r="E37" s="3">
        <v>50</v>
      </c>
      <c r="F37" s="11">
        <v>1</v>
      </c>
      <c r="G37" s="5" t="str">
        <f t="shared" si="1"/>
        <v>{"CategoriaId": {"Kind": "number", "Value": 2},"Nome": {"Kind": "string", "Value": "Livros"}}</v>
      </c>
    </row>
    <row r="38" spans="1:7" ht="28.8" x14ac:dyDescent="0.3">
      <c r="A38">
        <f t="shared" si="0"/>
        <v>36</v>
      </c>
      <c r="B38">
        <v>2</v>
      </c>
      <c r="C38">
        <v>3</v>
      </c>
      <c r="D38" t="s">
        <v>18</v>
      </c>
      <c r="E38" s="3">
        <v>200</v>
      </c>
      <c r="F38" s="11">
        <v>3</v>
      </c>
      <c r="G38" s="5" t="str">
        <f t="shared" si="1"/>
        <v>{"CategoriaId": {"Kind": "number", "Value": 3},"Nome": {"Kind": "string",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selection activeCell="C6" sqref="C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32</v>
      </c>
      <c r="B2" s="1" t="s">
        <v>28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2026-10-25T04:04:39Z</dcterms:modified>
</cp:coreProperties>
</file>